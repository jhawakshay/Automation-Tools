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achine Learning\Excel VBA\Expenses Tool\"/>
    </mc:Choice>
  </mc:AlternateContent>
  <xr:revisionPtr revIDLastSave="0" documentId="10_ncr:100000_{CC706D1B-D746-4192-A85F-BDCA5A7C08EF}" xr6:coauthVersionLast="31" xr6:coauthVersionMax="31" xr10:uidLastSave="{00000000-0000-0000-0000-000000000000}"/>
  <bookViews>
    <workbookView xWindow="0" yWindow="105" windowWidth="11415" windowHeight="4635" activeTab="1" xr2:uid="{00000000-000D-0000-FFFF-FFFF00000000}"/>
  </bookViews>
  <sheets>
    <sheet name="Read Me" sheetId="5" r:id="rId1"/>
    <sheet name="Expense Sheet" sheetId="1" r:id="rId2"/>
    <sheet name="Data Record" sheetId="2" state="veryHidden" r:id="rId3"/>
    <sheet name="Charts" sheetId="3" state="hidden" r:id="rId4"/>
    <sheet name="Charts Data" sheetId="4" state="hidden" r:id="rId5"/>
  </sheets>
  <calcPr calcId="179017"/>
</workbook>
</file>

<file path=xl/calcChain.xml><?xml version="1.0" encoding="utf-8"?>
<calcChain xmlns="http://schemas.openxmlformats.org/spreadsheetml/2006/main">
  <c r="C23" i="2" l="1"/>
  <c r="T23" i="2" s="1"/>
  <c r="AK23" i="2" s="1"/>
  <c r="BB23" i="2" s="1"/>
  <c r="BS23" i="2" s="1"/>
  <c r="CJ23" i="2" s="1"/>
  <c r="DA23" i="2" s="1"/>
  <c r="DR23" i="2" s="1"/>
  <c r="EI23" i="2" s="1"/>
  <c r="EZ23" i="2" s="1"/>
  <c r="FQ23" i="2" s="1"/>
  <c r="GH23" i="2" s="1"/>
  <c r="GY23" i="2" s="1"/>
  <c r="HP23" i="2" s="1"/>
  <c r="IG23" i="2" s="1"/>
  <c r="IX23" i="2" s="1"/>
  <c r="JO23" i="2" s="1"/>
  <c r="KF23" i="2" s="1"/>
  <c r="KW23" i="2" s="1"/>
  <c r="C22" i="2"/>
  <c r="T22" i="2" s="1"/>
  <c r="AK22" i="2" s="1"/>
  <c r="BB22" i="2" s="1"/>
  <c r="BS22" i="2" s="1"/>
  <c r="CJ22" i="2" s="1"/>
  <c r="DA22" i="2" s="1"/>
  <c r="DR22" i="2" s="1"/>
  <c r="EI22" i="2" s="1"/>
  <c r="EZ22" i="2" s="1"/>
  <c r="FQ22" i="2" s="1"/>
  <c r="GH22" i="2" s="1"/>
  <c r="GY22" i="2" s="1"/>
  <c r="HP22" i="2" s="1"/>
  <c r="IG22" i="2" s="1"/>
  <c r="IX22" i="2" s="1"/>
  <c r="JO22" i="2" s="1"/>
  <c r="KF22" i="2" s="1"/>
  <c r="KW22" i="2" s="1"/>
  <c r="C21" i="2"/>
  <c r="T21" i="2" s="1"/>
  <c r="AK21" i="2" s="1"/>
  <c r="BB21" i="2" s="1"/>
  <c r="BS21" i="2" s="1"/>
  <c r="CJ21" i="2" s="1"/>
  <c r="DA21" i="2" s="1"/>
  <c r="DR21" i="2" s="1"/>
  <c r="EI21" i="2" s="1"/>
  <c r="EZ21" i="2" s="1"/>
  <c r="FQ21" i="2" s="1"/>
  <c r="GH21" i="2" s="1"/>
  <c r="GY21" i="2" s="1"/>
  <c r="HP21" i="2" s="1"/>
  <c r="IG21" i="2" s="1"/>
  <c r="IX21" i="2" s="1"/>
  <c r="JO21" i="2" s="1"/>
  <c r="KF21" i="2" s="1"/>
  <c r="KW21" i="2" s="1"/>
  <c r="C20" i="2"/>
  <c r="T20" i="2" s="1"/>
  <c r="AK20" i="2" s="1"/>
  <c r="BB20" i="2" s="1"/>
  <c r="BS20" i="2" s="1"/>
  <c r="CJ20" i="2" s="1"/>
  <c r="DA20" i="2" s="1"/>
  <c r="DR20" i="2" s="1"/>
  <c r="EI20" i="2" s="1"/>
  <c r="EZ20" i="2" s="1"/>
  <c r="FQ20" i="2" s="1"/>
  <c r="GH20" i="2" s="1"/>
  <c r="GY20" i="2" s="1"/>
  <c r="HP20" i="2" s="1"/>
  <c r="IG20" i="2" s="1"/>
  <c r="IX20" i="2" s="1"/>
  <c r="JO20" i="2" s="1"/>
  <c r="KF20" i="2" s="1"/>
  <c r="KW20" i="2" s="1"/>
  <c r="C19" i="2"/>
  <c r="T19" i="2" s="1"/>
  <c r="AK19" i="2" s="1"/>
  <c r="BB19" i="2" s="1"/>
  <c r="BS19" i="2" s="1"/>
  <c r="CJ19" i="2" s="1"/>
  <c r="DA19" i="2" s="1"/>
  <c r="DR19" i="2" s="1"/>
  <c r="EI19" i="2" s="1"/>
  <c r="EZ19" i="2" s="1"/>
  <c r="FQ19" i="2" s="1"/>
  <c r="GH19" i="2" s="1"/>
  <c r="GY19" i="2" s="1"/>
  <c r="HP19" i="2" s="1"/>
  <c r="IG19" i="2" s="1"/>
  <c r="IX19" i="2" s="1"/>
  <c r="JO19" i="2" s="1"/>
  <c r="KF19" i="2" s="1"/>
  <c r="KW19" i="2" s="1"/>
  <c r="C18" i="2"/>
  <c r="T18" i="2" s="1"/>
  <c r="AK18" i="2" s="1"/>
  <c r="BB18" i="2" s="1"/>
  <c r="BS18" i="2" s="1"/>
  <c r="CJ18" i="2" s="1"/>
  <c r="DA18" i="2" s="1"/>
  <c r="DR18" i="2" s="1"/>
  <c r="EI18" i="2" s="1"/>
  <c r="EZ18" i="2" s="1"/>
  <c r="FQ18" i="2" s="1"/>
  <c r="GH18" i="2" s="1"/>
  <c r="GY18" i="2" s="1"/>
  <c r="HP18" i="2" s="1"/>
  <c r="IG18" i="2" s="1"/>
  <c r="IX18" i="2" s="1"/>
  <c r="JO18" i="2" s="1"/>
  <c r="KF18" i="2" s="1"/>
  <c r="KW18" i="2" s="1"/>
  <c r="C17" i="2"/>
  <c r="T17" i="2" s="1"/>
  <c r="AK17" i="2" s="1"/>
  <c r="BB17" i="2" s="1"/>
  <c r="BS17" i="2" s="1"/>
  <c r="CJ17" i="2" s="1"/>
  <c r="DA17" i="2" s="1"/>
  <c r="DR17" i="2" s="1"/>
  <c r="EI17" i="2" s="1"/>
  <c r="EZ17" i="2" s="1"/>
  <c r="FQ17" i="2" s="1"/>
  <c r="GH17" i="2" s="1"/>
  <c r="GY17" i="2" s="1"/>
  <c r="HP17" i="2" s="1"/>
  <c r="IG17" i="2" s="1"/>
  <c r="IX17" i="2" s="1"/>
  <c r="JO17" i="2" s="1"/>
  <c r="KF17" i="2" s="1"/>
  <c r="KW17" i="2" s="1"/>
  <c r="C16" i="2"/>
  <c r="T16" i="2" s="1"/>
  <c r="AK16" i="2" s="1"/>
  <c r="BB16" i="2" s="1"/>
  <c r="BS16" i="2" s="1"/>
  <c r="CJ16" i="2" s="1"/>
  <c r="DA16" i="2" s="1"/>
  <c r="DR16" i="2" s="1"/>
  <c r="EI16" i="2" s="1"/>
  <c r="EZ16" i="2" s="1"/>
  <c r="FQ16" i="2" s="1"/>
  <c r="GH16" i="2" s="1"/>
  <c r="GY16" i="2" s="1"/>
  <c r="HP16" i="2" s="1"/>
  <c r="IG16" i="2" s="1"/>
  <c r="IX16" i="2" s="1"/>
  <c r="JO16" i="2" s="1"/>
  <c r="KF16" i="2" s="1"/>
  <c r="KW16" i="2" s="1"/>
  <c r="C15" i="2"/>
  <c r="T15" i="2" s="1"/>
  <c r="AK15" i="2" s="1"/>
  <c r="BB15" i="2" s="1"/>
  <c r="BS15" i="2" s="1"/>
  <c r="CJ15" i="2" s="1"/>
  <c r="DA15" i="2" s="1"/>
  <c r="DR15" i="2" s="1"/>
  <c r="EI15" i="2" s="1"/>
  <c r="EZ15" i="2" s="1"/>
  <c r="FQ15" i="2" s="1"/>
  <c r="GH15" i="2" s="1"/>
  <c r="GY15" i="2" s="1"/>
  <c r="HP15" i="2" s="1"/>
  <c r="IG15" i="2" s="1"/>
  <c r="IX15" i="2" s="1"/>
  <c r="JO15" i="2" s="1"/>
  <c r="KF15" i="2" s="1"/>
  <c r="KW15" i="2" s="1"/>
  <c r="C14" i="2"/>
  <c r="T14" i="2" s="1"/>
  <c r="AK14" i="2" s="1"/>
  <c r="BB14" i="2" s="1"/>
  <c r="BS14" i="2" s="1"/>
  <c r="CJ14" i="2" s="1"/>
  <c r="DA14" i="2" s="1"/>
  <c r="DR14" i="2" s="1"/>
  <c r="EI14" i="2" s="1"/>
  <c r="EZ14" i="2" s="1"/>
  <c r="FQ14" i="2" s="1"/>
  <c r="GH14" i="2" s="1"/>
  <c r="GY14" i="2" s="1"/>
  <c r="HP14" i="2" s="1"/>
  <c r="IG14" i="2" s="1"/>
  <c r="IX14" i="2" s="1"/>
  <c r="JO14" i="2" s="1"/>
  <c r="KF14" i="2" s="1"/>
  <c r="KW14" i="2" s="1"/>
  <c r="C13" i="2"/>
  <c r="T13" i="2" s="1"/>
  <c r="AK13" i="2" s="1"/>
  <c r="BB13" i="2" s="1"/>
  <c r="BS13" i="2" s="1"/>
  <c r="CJ13" i="2" s="1"/>
  <c r="DA13" i="2" s="1"/>
  <c r="DR13" i="2" s="1"/>
  <c r="EI13" i="2" s="1"/>
  <c r="EZ13" i="2" s="1"/>
  <c r="FQ13" i="2" s="1"/>
  <c r="GH13" i="2" s="1"/>
  <c r="GY13" i="2" s="1"/>
  <c r="HP13" i="2" s="1"/>
  <c r="IG13" i="2" s="1"/>
  <c r="IX13" i="2" s="1"/>
  <c r="JO13" i="2" s="1"/>
  <c r="KF13" i="2" s="1"/>
  <c r="KW13" i="2" s="1"/>
  <c r="C12" i="2"/>
  <c r="T12" i="2" s="1"/>
  <c r="AK12" i="2" s="1"/>
  <c r="BB12" i="2" s="1"/>
  <c r="BS12" i="2" s="1"/>
  <c r="CJ12" i="2" s="1"/>
  <c r="DA12" i="2" s="1"/>
  <c r="DR12" i="2" s="1"/>
  <c r="EI12" i="2" s="1"/>
  <c r="EZ12" i="2" s="1"/>
  <c r="FQ12" i="2" s="1"/>
  <c r="GH12" i="2" s="1"/>
  <c r="GY12" i="2" s="1"/>
  <c r="HP12" i="2" s="1"/>
  <c r="IG12" i="2" s="1"/>
  <c r="IX12" i="2" s="1"/>
  <c r="JO12" i="2" s="1"/>
  <c r="KF12" i="2" s="1"/>
  <c r="KW12" i="2" s="1"/>
  <c r="C11" i="2"/>
  <c r="T11" i="2" s="1"/>
  <c r="AK11" i="2" s="1"/>
  <c r="BB11" i="2" s="1"/>
  <c r="BS11" i="2" s="1"/>
  <c r="CJ11" i="2" s="1"/>
  <c r="DA11" i="2" s="1"/>
  <c r="DR11" i="2" s="1"/>
  <c r="EI11" i="2" s="1"/>
  <c r="EZ11" i="2" s="1"/>
  <c r="FQ11" i="2" s="1"/>
  <c r="GH11" i="2" s="1"/>
  <c r="GY11" i="2" s="1"/>
  <c r="HP11" i="2" s="1"/>
  <c r="IG11" i="2" s="1"/>
  <c r="IX11" i="2" s="1"/>
  <c r="JO11" i="2" s="1"/>
  <c r="KF11" i="2" s="1"/>
  <c r="KW11" i="2" s="1"/>
  <c r="C10" i="2"/>
  <c r="T10" i="2" s="1"/>
  <c r="AK10" i="2" s="1"/>
  <c r="BB10" i="2" s="1"/>
  <c r="BS10" i="2" s="1"/>
  <c r="CJ10" i="2" s="1"/>
  <c r="DA10" i="2" s="1"/>
  <c r="DR10" i="2" s="1"/>
  <c r="EI10" i="2" s="1"/>
  <c r="EZ10" i="2" s="1"/>
  <c r="FQ10" i="2" s="1"/>
  <c r="GH10" i="2" s="1"/>
  <c r="GY10" i="2" s="1"/>
  <c r="HP10" i="2" s="1"/>
  <c r="IG10" i="2" s="1"/>
  <c r="IX10" i="2" s="1"/>
  <c r="JO10" i="2" s="1"/>
  <c r="KF10" i="2" s="1"/>
  <c r="KW10" i="2" s="1"/>
  <c r="C9" i="2"/>
  <c r="T9" i="2" s="1"/>
  <c r="AK9" i="2" s="1"/>
  <c r="BB9" i="2" s="1"/>
  <c r="BS9" i="2" s="1"/>
  <c r="CJ9" i="2" s="1"/>
  <c r="DA9" i="2" s="1"/>
  <c r="DR9" i="2" s="1"/>
  <c r="EI9" i="2" s="1"/>
  <c r="EZ9" i="2" s="1"/>
  <c r="FQ9" i="2" s="1"/>
  <c r="GH9" i="2" s="1"/>
  <c r="GY9" i="2" s="1"/>
  <c r="HP9" i="2" s="1"/>
  <c r="IG9" i="2" s="1"/>
  <c r="IX9" i="2" s="1"/>
  <c r="JO9" i="2" s="1"/>
  <c r="KF9" i="2" s="1"/>
  <c r="KW9" i="2" s="1"/>
  <c r="C8" i="2"/>
  <c r="T8" i="2" s="1"/>
  <c r="AK8" i="2" s="1"/>
  <c r="BB8" i="2" s="1"/>
  <c r="BS8" i="2" s="1"/>
  <c r="CJ8" i="2" s="1"/>
  <c r="DA8" i="2" s="1"/>
  <c r="DR8" i="2" s="1"/>
  <c r="EI8" i="2" s="1"/>
  <c r="EZ8" i="2" s="1"/>
  <c r="FQ8" i="2" s="1"/>
  <c r="GH8" i="2" s="1"/>
  <c r="GY8" i="2" s="1"/>
  <c r="HP8" i="2" s="1"/>
  <c r="IG8" i="2" s="1"/>
  <c r="IX8" i="2" s="1"/>
  <c r="JO8" i="2" s="1"/>
  <c r="KF8" i="2" s="1"/>
  <c r="KW8" i="2" s="1"/>
  <c r="C7" i="2"/>
  <c r="T7" i="2" s="1"/>
  <c r="AK7" i="2" s="1"/>
  <c r="BB7" i="2" s="1"/>
  <c r="BS7" i="2" s="1"/>
  <c r="CJ7" i="2" s="1"/>
  <c r="DA7" i="2" s="1"/>
  <c r="DR7" i="2" s="1"/>
  <c r="EI7" i="2" s="1"/>
  <c r="EZ7" i="2" s="1"/>
  <c r="FQ7" i="2" s="1"/>
  <c r="GH7" i="2" s="1"/>
  <c r="GY7" i="2" s="1"/>
  <c r="HP7" i="2" s="1"/>
  <c r="IG7" i="2" s="1"/>
  <c r="IX7" i="2" s="1"/>
  <c r="JO7" i="2" s="1"/>
  <c r="KF7" i="2" s="1"/>
  <c r="KW7" i="2" s="1"/>
  <c r="C6" i="2"/>
  <c r="T6" i="2" s="1"/>
  <c r="AK6" i="2" s="1"/>
  <c r="BB6" i="2" s="1"/>
  <c r="BS6" i="2" s="1"/>
  <c r="CJ6" i="2" s="1"/>
  <c r="DA6" i="2" s="1"/>
  <c r="DR6" i="2" s="1"/>
  <c r="EI6" i="2" s="1"/>
  <c r="EZ6" i="2" s="1"/>
  <c r="FQ6" i="2" s="1"/>
  <c r="GH6" i="2" s="1"/>
  <c r="GY6" i="2" s="1"/>
  <c r="HP6" i="2" s="1"/>
  <c r="IG6" i="2" s="1"/>
  <c r="IX6" i="2" s="1"/>
  <c r="JO6" i="2" s="1"/>
  <c r="KF6" i="2" s="1"/>
  <c r="KW6" i="2" s="1"/>
  <c r="C5" i="2"/>
  <c r="T5" i="2" s="1"/>
  <c r="AK5" i="2" s="1"/>
  <c r="BB5" i="2" s="1"/>
  <c r="BS5" i="2" s="1"/>
  <c r="CJ5" i="2" s="1"/>
  <c r="DA5" i="2" s="1"/>
  <c r="DR5" i="2" s="1"/>
  <c r="EI5" i="2" s="1"/>
  <c r="EZ5" i="2" s="1"/>
  <c r="FQ5" i="2" s="1"/>
  <c r="GH5" i="2" s="1"/>
  <c r="GY5" i="2" s="1"/>
  <c r="HP5" i="2" s="1"/>
  <c r="IG5" i="2" s="1"/>
  <c r="IX5" i="2" s="1"/>
  <c r="JO5" i="2" s="1"/>
  <c r="KF5" i="2" s="1"/>
  <c r="KW5" i="2" s="1"/>
  <c r="F2" i="4"/>
  <c r="R25" i="4"/>
  <c r="N25" i="4"/>
  <c r="J25" i="4"/>
  <c r="R24" i="4"/>
  <c r="N24" i="4"/>
  <c r="J24" i="4"/>
  <c r="Q23" i="4"/>
  <c r="M23" i="4"/>
  <c r="I23" i="4"/>
  <c r="Q22" i="4"/>
  <c r="M22" i="4"/>
  <c r="I22" i="4"/>
  <c r="Q21" i="4"/>
  <c r="LI57" i="2"/>
  <c r="LH57" i="2"/>
  <c r="Q25" i="4" s="1"/>
  <c r="LG57" i="2"/>
  <c r="P25" i="4" s="1"/>
  <c r="LF57" i="2"/>
  <c r="O25" i="4" s="1"/>
  <c r="LE57" i="2"/>
  <c r="LD57" i="2"/>
  <c r="M25" i="4" s="1"/>
  <c r="LC57" i="2"/>
  <c r="L25" i="4" s="1"/>
  <c r="LB57" i="2"/>
  <c r="K25" i="4" s="1"/>
  <c r="LA57" i="2"/>
  <c r="KZ57" i="2"/>
  <c r="I25" i="4" s="1"/>
  <c r="KY57" i="2"/>
  <c r="H25" i="4" s="1"/>
  <c r="KX57" i="2"/>
  <c r="G25" i="4" s="1"/>
  <c r="KU5" i="2"/>
  <c r="C11" i="4" s="1"/>
  <c r="LI3" i="2"/>
  <c r="LH3" i="2"/>
  <c r="LG3" i="2"/>
  <c r="LF3" i="2"/>
  <c r="LE3" i="2"/>
  <c r="LD3" i="2"/>
  <c r="LC3" i="2"/>
  <c r="LB3" i="2"/>
  <c r="LA3" i="2"/>
  <c r="KZ3" i="2"/>
  <c r="KY3" i="2"/>
  <c r="KX3" i="2"/>
  <c r="KR57" i="2"/>
  <c r="KQ57" i="2"/>
  <c r="Q24" i="4" s="1"/>
  <c r="KP57" i="2"/>
  <c r="P24" i="4" s="1"/>
  <c r="KO57" i="2"/>
  <c r="O24" i="4" s="1"/>
  <c r="KN57" i="2"/>
  <c r="KM57" i="2"/>
  <c r="M24" i="4" s="1"/>
  <c r="KL57" i="2"/>
  <c r="L24" i="4" s="1"/>
  <c r="KK57" i="2"/>
  <c r="K24" i="4" s="1"/>
  <c r="KJ57" i="2"/>
  <c r="KI57" i="2"/>
  <c r="I24" i="4" s="1"/>
  <c r="KH57" i="2"/>
  <c r="H24" i="4" s="1"/>
  <c r="KG57" i="2"/>
  <c r="G24" i="4" s="1"/>
  <c r="KD5" i="2"/>
  <c r="C10" i="4" s="1"/>
  <c r="KR3" i="2"/>
  <c r="KQ3" i="2"/>
  <c r="KP3" i="2"/>
  <c r="KO3" i="2"/>
  <c r="KN3" i="2"/>
  <c r="KM3" i="2"/>
  <c r="KL3" i="2"/>
  <c r="KK3" i="2"/>
  <c r="KJ3" i="2"/>
  <c r="KI3" i="2"/>
  <c r="KH3" i="2"/>
  <c r="KG3" i="2"/>
  <c r="KA57" i="2"/>
  <c r="R23" i="4" s="1"/>
  <c r="JZ57" i="2"/>
  <c r="JY57" i="2"/>
  <c r="P23" i="4" s="1"/>
  <c r="JX57" i="2"/>
  <c r="O23" i="4" s="1"/>
  <c r="JW57" i="2"/>
  <c r="N23" i="4" s="1"/>
  <c r="JV57" i="2"/>
  <c r="JU57" i="2"/>
  <c r="L23" i="4" s="1"/>
  <c r="JT57" i="2"/>
  <c r="K23" i="4" s="1"/>
  <c r="JS57" i="2"/>
  <c r="J23" i="4" s="1"/>
  <c r="JR57" i="2"/>
  <c r="JQ57" i="2"/>
  <c r="H23" i="4" s="1"/>
  <c r="JP57" i="2"/>
  <c r="G23" i="4" s="1"/>
  <c r="JM5" i="2"/>
  <c r="C9" i="4" s="1"/>
  <c r="KA3" i="2"/>
  <c r="JZ3" i="2"/>
  <c r="JY3" i="2"/>
  <c r="JX3" i="2"/>
  <c r="JW3" i="2"/>
  <c r="JV3" i="2"/>
  <c r="JU3" i="2"/>
  <c r="JT3" i="2"/>
  <c r="JS3" i="2"/>
  <c r="JR3" i="2"/>
  <c r="JQ3" i="2"/>
  <c r="JP3" i="2"/>
  <c r="JJ57" i="2"/>
  <c r="R22" i="4" s="1"/>
  <c r="JI57" i="2"/>
  <c r="JH57" i="2"/>
  <c r="P22" i="4" s="1"/>
  <c r="JG57" i="2"/>
  <c r="O22" i="4" s="1"/>
  <c r="JF57" i="2"/>
  <c r="N22" i="4" s="1"/>
  <c r="JE57" i="2"/>
  <c r="JD57" i="2"/>
  <c r="L22" i="4" s="1"/>
  <c r="JC57" i="2"/>
  <c r="K22" i="4" s="1"/>
  <c r="JB57" i="2"/>
  <c r="J22" i="4" s="1"/>
  <c r="JA57" i="2"/>
  <c r="IZ57" i="2"/>
  <c r="H22" i="4" s="1"/>
  <c r="IY57" i="2"/>
  <c r="G22" i="4" s="1"/>
  <c r="IV5" i="2"/>
  <c r="C8" i="4" s="1"/>
  <c r="JJ3" i="2"/>
  <c r="JI3" i="2"/>
  <c r="JH3" i="2"/>
  <c r="JG3" i="2"/>
  <c r="JF3" i="2"/>
  <c r="JE3" i="2"/>
  <c r="JD3" i="2"/>
  <c r="JC3" i="2"/>
  <c r="JB3" i="2"/>
  <c r="JA3" i="2"/>
  <c r="IZ3" i="2"/>
  <c r="IY3" i="2"/>
  <c r="IS57" i="2"/>
  <c r="R21" i="4" s="1"/>
  <c r="IR57" i="2"/>
  <c r="IQ57" i="2"/>
  <c r="P21" i="4" s="1"/>
  <c r="IP57" i="2"/>
  <c r="O21" i="4" s="1"/>
  <c r="IO57" i="2"/>
  <c r="N21" i="4" s="1"/>
  <c r="IN57" i="2"/>
  <c r="M21" i="4" s="1"/>
  <c r="IM57" i="2"/>
  <c r="L21" i="4" s="1"/>
  <c r="IL57" i="2"/>
  <c r="K21" i="4" s="1"/>
  <c r="IK57" i="2"/>
  <c r="J21" i="4" s="1"/>
  <c r="IJ57" i="2"/>
  <c r="I21" i="4" s="1"/>
  <c r="II57" i="2"/>
  <c r="H21" i="4" s="1"/>
  <c r="IH57" i="2"/>
  <c r="G21" i="4" s="1"/>
  <c r="IE5" i="2"/>
  <c r="C7" i="4" s="1"/>
  <c r="IS3" i="2"/>
  <c r="IR3" i="2"/>
  <c r="IQ3" i="2"/>
  <c r="IP3" i="2"/>
  <c r="IO3" i="2"/>
  <c r="IN3" i="2"/>
  <c r="IM3" i="2"/>
  <c r="IL3" i="2"/>
  <c r="IK3" i="2"/>
  <c r="IJ3" i="2"/>
  <c r="II3" i="2"/>
  <c r="IH3" i="2"/>
  <c r="C24" i="2"/>
  <c r="T24" i="2" s="1"/>
  <c r="AK24" i="2" s="1"/>
  <c r="BB24" i="2" s="1"/>
  <c r="BS24" i="2" s="1"/>
  <c r="CJ24" i="2" s="1"/>
  <c r="DA24" i="2" s="1"/>
  <c r="DR24" i="2" s="1"/>
  <c r="EI24" i="2" s="1"/>
  <c r="EZ24" i="2" s="1"/>
  <c r="FQ24" i="2" s="1"/>
  <c r="GH24" i="2" s="1"/>
  <c r="GY24" i="2" s="1"/>
  <c r="HP24" i="2" s="1"/>
  <c r="IG24" i="2" s="1"/>
  <c r="IX24" i="2" s="1"/>
  <c r="JO24" i="2" s="1"/>
  <c r="KF24" i="2" s="1"/>
  <c r="KW24" i="2" s="1"/>
  <c r="C35" i="2"/>
  <c r="T35" i="2" s="1"/>
  <c r="AK35" i="2" s="1"/>
  <c r="BB35" i="2" s="1"/>
  <c r="BS35" i="2" s="1"/>
  <c r="CJ35" i="2" s="1"/>
  <c r="DA35" i="2" s="1"/>
  <c r="DR35" i="2" s="1"/>
  <c r="EI35" i="2" s="1"/>
  <c r="EZ35" i="2" s="1"/>
  <c r="FQ35" i="2" s="1"/>
  <c r="GH35" i="2" s="1"/>
  <c r="GY35" i="2" s="1"/>
  <c r="HP35" i="2" s="1"/>
  <c r="IG35" i="2" s="1"/>
  <c r="IX35" i="2" s="1"/>
  <c r="JO35" i="2" s="1"/>
  <c r="KF35" i="2" s="1"/>
  <c r="KW35" i="2" s="1"/>
  <c r="C34" i="2"/>
  <c r="T34" i="2" s="1"/>
  <c r="AK34" i="2" s="1"/>
  <c r="BB34" i="2" s="1"/>
  <c r="BS34" i="2" s="1"/>
  <c r="CJ34" i="2" s="1"/>
  <c r="DA34" i="2" s="1"/>
  <c r="DR34" i="2" s="1"/>
  <c r="EI34" i="2" s="1"/>
  <c r="EZ34" i="2" s="1"/>
  <c r="FQ34" i="2" s="1"/>
  <c r="GH34" i="2" s="1"/>
  <c r="GY34" i="2" s="1"/>
  <c r="HP34" i="2" s="1"/>
  <c r="IG34" i="2" s="1"/>
  <c r="IX34" i="2" s="1"/>
  <c r="JO34" i="2" s="1"/>
  <c r="KF34" i="2" s="1"/>
  <c r="KW34" i="2" s="1"/>
  <c r="C33" i="2"/>
  <c r="C32" i="2"/>
  <c r="C31" i="2"/>
  <c r="T31" i="2" s="1"/>
  <c r="AK31" i="2" s="1"/>
  <c r="BB31" i="2" s="1"/>
  <c r="BS31" i="2" s="1"/>
  <c r="CJ31" i="2" s="1"/>
  <c r="DA31" i="2" s="1"/>
  <c r="DR31" i="2" s="1"/>
  <c r="EI31" i="2" s="1"/>
  <c r="EZ31" i="2" s="1"/>
  <c r="FQ31" i="2" s="1"/>
  <c r="GH31" i="2" s="1"/>
  <c r="GY31" i="2" s="1"/>
  <c r="HP31" i="2" s="1"/>
  <c r="IG31" i="2" s="1"/>
  <c r="IX31" i="2" s="1"/>
  <c r="JO31" i="2" s="1"/>
  <c r="KF31" i="2" s="1"/>
  <c r="KW31" i="2" s="1"/>
  <c r="C30" i="2"/>
  <c r="T30" i="2" s="1"/>
  <c r="AK30" i="2" s="1"/>
  <c r="BB30" i="2" s="1"/>
  <c r="BS30" i="2" s="1"/>
  <c r="CJ30" i="2" s="1"/>
  <c r="DA30" i="2" s="1"/>
  <c r="DR30" i="2" s="1"/>
  <c r="EI30" i="2" s="1"/>
  <c r="EZ30" i="2" s="1"/>
  <c r="FQ30" i="2" s="1"/>
  <c r="GH30" i="2" s="1"/>
  <c r="GY30" i="2" s="1"/>
  <c r="HP30" i="2" s="1"/>
  <c r="IG30" i="2" s="1"/>
  <c r="IX30" i="2" s="1"/>
  <c r="JO30" i="2" s="1"/>
  <c r="KF30" i="2" s="1"/>
  <c r="KW30" i="2" s="1"/>
  <c r="C29" i="2"/>
  <c r="T29" i="2" s="1"/>
  <c r="AK29" i="2" s="1"/>
  <c r="BB29" i="2" s="1"/>
  <c r="BS29" i="2" s="1"/>
  <c r="CJ29" i="2" s="1"/>
  <c r="DA29" i="2" s="1"/>
  <c r="DR29" i="2" s="1"/>
  <c r="EI29" i="2" s="1"/>
  <c r="EZ29" i="2" s="1"/>
  <c r="FQ29" i="2" s="1"/>
  <c r="GH29" i="2" s="1"/>
  <c r="GY29" i="2" s="1"/>
  <c r="HP29" i="2" s="1"/>
  <c r="IG29" i="2" s="1"/>
  <c r="IX29" i="2" s="1"/>
  <c r="JO29" i="2" s="1"/>
  <c r="KF29" i="2" s="1"/>
  <c r="KW29" i="2" s="1"/>
  <c r="C28" i="2"/>
  <c r="T28" i="2" s="1"/>
  <c r="AK28" i="2" s="1"/>
  <c r="BB28" i="2" s="1"/>
  <c r="BS28" i="2" s="1"/>
  <c r="CJ28" i="2" s="1"/>
  <c r="DA28" i="2" s="1"/>
  <c r="DR28" i="2" s="1"/>
  <c r="EI28" i="2" s="1"/>
  <c r="EZ28" i="2" s="1"/>
  <c r="FQ28" i="2" s="1"/>
  <c r="GH28" i="2" s="1"/>
  <c r="GY28" i="2" s="1"/>
  <c r="HP28" i="2" s="1"/>
  <c r="IG28" i="2" s="1"/>
  <c r="IX28" i="2" s="1"/>
  <c r="JO28" i="2" s="1"/>
  <c r="KF28" i="2" s="1"/>
  <c r="KW28" i="2" s="1"/>
  <c r="C27" i="2"/>
  <c r="T27" i="2" s="1"/>
  <c r="AK27" i="2" s="1"/>
  <c r="BB27" i="2" s="1"/>
  <c r="BS27" i="2" s="1"/>
  <c r="CJ27" i="2" s="1"/>
  <c r="DA27" i="2" s="1"/>
  <c r="DR27" i="2" s="1"/>
  <c r="EI27" i="2" s="1"/>
  <c r="EZ27" i="2" s="1"/>
  <c r="FQ27" i="2" s="1"/>
  <c r="GH27" i="2" s="1"/>
  <c r="GY27" i="2" s="1"/>
  <c r="HP27" i="2" s="1"/>
  <c r="IG27" i="2" s="1"/>
  <c r="IX27" i="2" s="1"/>
  <c r="JO27" i="2" s="1"/>
  <c r="KF27" i="2" s="1"/>
  <c r="KW27" i="2" s="1"/>
  <c r="C26" i="2"/>
  <c r="T26" i="2" s="1"/>
  <c r="AK26" i="2" s="1"/>
  <c r="BB26" i="2" s="1"/>
  <c r="BS26" i="2" s="1"/>
  <c r="CJ26" i="2" s="1"/>
  <c r="DA26" i="2" s="1"/>
  <c r="DR26" i="2" s="1"/>
  <c r="EI26" i="2" s="1"/>
  <c r="EZ26" i="2" s="1"/>
  <c r="FQ26" i="2" s="1"/>
  <c r="GH26" i="2" s="1"/>
  <c r="GY26" i="2" s="1"/>
  <c r="HP26" i="2" s="1"/>
  <c r="IG26" i="2" s="1"/>
  <c r="IX26" i="2" s="1"/>
  <c r="JO26" i="2" s="1"/>
  <c r="KF26" i="2" s="1"/>
  <c r="KW26" i="2" s="1"/>
  <c r="C25" i="2"/>
  <c r="T25" i="2" s="1"/>
  <c r="AK25" i="2" s="1"/>
  <c r="BB25" i="2" s="1"/>
  <c r="BS25" i="2" s="1"/>
  <c r="CJ25" i="2" s="1"/>
  <c r="DA25" i="2" s="1"/>
  <c r="DR25" i="2" s="1"/>
  <c r="EI25" i="2" s="1"/>
  <c r="EZ25" i="2" s="1"/>
  <c r="FQ25" i="2" s="1"/>
  <c r="GH25" i="2" s="1"/>
  <c r="GY25" i="2" s="1"/>
  <c r="HP25" i="2" s="1"/>
  <c r="IG25" i="2" s="1"/>
  <c r="IX25" i="2" s="1"/>
  <c r="JO25" i="2" s="1"/>
  <c r="KF25" i="2" s="1"/>
  <c r="KW25" i="2" s="1"/>
  <c r="T33" i="2"/>
  <c r="AK33" i="2" s="1"/>
  <c r="BB33" i="2" s="1"/>
  <c r="BS33" i="2" s="1"/>
  <c r="CJ33" i="2" s="1"/>
  <c r="DA33" i="2" s="1"/>
  <c r="DR33" i="2" s="1"/>
  <c r="EI33" i="2" s="1"/>
  <c r="EZ33" i="2" s="1"/>
  <c r="FQ33" i="2" s="1"/>
  <c r="GH33" i="2" s="1"/>
  <c r="GY33" i="2" s="1"/>
  <c r="HP33" i="2" s="1"/>
  <c r="IG33" i="2" s="1"/>
  <c r="IX33" i="2" s="1"/>
  <c r="JO33" i="2" s="1"/>
  <c r="KF33" i="2" s="1"/>
  <c r="KW33" i="2" s="1"/>
  <c r="T32" i="2"/>
  <c r="AK32" i="2" s="1"/>
  <c r="BB32" i="2" s="1"/>
  <c r="BS32" i="2" s="1"/>
  <c r="CJ32" i="2" s="1"/>
  <c r="DA32" i="2" s="1"/>
  <c r="DR32" i="2" s="1"/>
  <c r="EI32" i="2" s="1"/>
  <c r="EZ32" i="2" s="1"/>
  <c r="FQ32" i="2" s="1"/>
  <c r="GH32" i="2" s="1"/>
  <c r="GY32" i="2" s="1"/>
  <c r="HP32" i="2" s="1"/>
  <c r="IG32" i="2" s="1"/>
  <c r="IX32" i="2" s="1"/>
  <c r="JO32" i="2" s="1"/>
  <c r="KF32" i="2" s="1"/>
  <c r="KW32" i="2" s="1"/>
  <c r="IB57" i="2"/>
  <c r="R20" i="4" s="1"/>
  <c r="IA57" i="2"/>
  <c r="Q20" i="4" s="1"/>
  <c r="HZ57" i="2"/>
  <c r="P20" i="4" s="1"/>
  <c r="HY57" i="2"/>
  <c r="O20" i="4" s="1"/>
  <c r="HX57" i="2"/>
  <c r="N20" i="4" s="1"/>
  <c r="HW57" i="2"/>
  <c r="M20" i="4" s="1"/>
  <c r="HV57" i="2"/>
  <c r="L20" i="4" s="1"/>
  <c r="HU57" i="2"/>
  <c r="K20" i="4" s="1"/>
  <c r="HT57" i="2"/>
  <c r="J20" i="4" s="1"/>
  <c r="HS57" i="2"/>
  <c r="I20" i="4" s="1"/>
  <c r="HR57" i="2"/>
  <c r="H20" i="4" s="1"/>
  <c r="HQ57" i="2"/>
  <c r="G20" i="4" s="1"/>
  <c r="HK57" i="2"/>
  <c r="R19" i="4" s="1"/>
  <c r="HJ57" i="2"/>
  <c r="Q19" i="4" s="1"/>
  <c r="HI57" i="2"/>
  <c r="P19" i="4" s="1"/>
  <c r="HH57" i="2"/>
  <c r="O19" i="4" s="1"/>
  <c r="HG57" i="2"/>
  <c r="N19" i="4" s="1"/>
  <c r="HF57" i="2"/>
  <c r="M19" i="4" s="1"/>
  <c r="HE57" i="2"/>
  <c r="L19" i="4" s="1"/>
  <c r="HD57" i="2"/>
  <c r="K19" i="4" s="1"/>
  <c r="HC57" i="2"/>
  <c r="J19" i="4" s="1"/>
  <c r="HB57" i="2"/>
  <c r="I19" i="4" s="1"/>
  <c r="HA57" i="2"/>
  <c r="H19" i="4" s="1"/>
  <c r="GZ57" i="2"/>
  <c r="G19" i="4" s="1"/>
  <c r="GT57" i="2"/>
  <c r="R18" i="4" s="1"/>
  <c r="GS57" i="2"/>
  <c r="Q18" i="4" s="1"/>
  <c r="GR57" i="2"/>
  <c r="P18" i="4" s="1"/>
  <c r="GQ57" i="2"/>
  <c r="O18" i="4" s="1"/>
  <c r="GP57" i="2"/>
  <c r="N18" i="4" s="1"/>
  <c r="GO57" i="2"/>
  <c r="M18" i="4" s="1"/>
  <c r="GN57" i="2"/>
  <c r="L18" i="4" s="1"/>
  <c r="GM57" i="2"/>
  <c r="K18" i="4" s="1"/>
  <c r="GL57" i="2"/>
  <c r="J18" i="4" s="1"/>
  <c r="GK57" i="2"/>
  <c r="I18" i="4" s="1"/>
  <c r="GJ57" i="2"/>
  <c r="H18" i="4" s="1"/>
  <c r="GI57" i="2"/>
  <c r="G18" i="4" s="1"/>
  <c r="GC57" i="2"/>
  <c r="R17" i="4" s="1"/>
  <c r="GB57" i="2"/>
  <c r="Q17" i="4" s="1"/>
  <c r="GA57" i="2"/>
  <c r="P17" i="4" s="1"/>
  <c r="FZ57" i="2"/>
  <c r="O17" i="4" s="1"/>
  <c r="FY57" i="2"/>
  <c r="N17" i="4" s="1"/>
  <c r="FX57" i="2"/>
  <c r="M17" i="4" s="1"/>
  <c r="FW57" i="2"/>
  <c r="L17" i="4" s="1"/>
  <c r="FV57" i="2"/>
  <c r="K17" i="4" s="1"/>
  <c r="FU57" i="2"/>
  <c r="J17" i="4" s="1"/>
  <c r="FT57" i="2"/>
  <c r="I17" i="4" s="1"/>
  <c r="FS57" i="2"/>
  <c r="H17" i="4" s="1"/>
  <c r="FR57" i="2"/>
  <c r="G17" i="4" s="1"/>
  <c r="FL57" i="2"/>
  <c r="R16" i="4" s="1"/>
  <c r="FK57" i="2"/>
  <c r="Q16" i="4" s="1"/>
  <c r="FJ57" i="2"/>
  <c r="P16" i="4" s="1"/>
  <c r="FI57" i="2"/>
  <c r="O16" i="4" s="1"/>
  <c r="FH57" i="2"/>
  <c r="N16" i="4" s="1"/>
  <c r="FG57" i="2"/>
  <c r="M16" i="4" s="1"/>
  <c r="FF57" i="2"/>
  <c r="L16" i="4" s="1"/>
  <c r="FE57" i="2"/>
  <c r="K16" i="4" s="1"/>
  <c r="FD57" i="2"/>
  <c r="J16" i="4" s="1"/>
  <c r="FC57" i="2"/>
  <c r="I16" i="4" s="1"/>
  <c r="FB57" i="2"/>
  <c r="H16" i="4" s="1"/>
  <c r="FA57" i="2"/>
  <c r="G16" i="4" s="1"/>
  <c r="EU57" i="2"/>
  <c r="R15" i="4" s="1"/>
  <c r="ET57" i="2"/>
  <c r="Q15" i="4" s="1"/>
  <c r="ES57" i="2"/>
  <c r="P15" i="4" s="1"/>
  <c r="ER57" i="2"/>
  <c r="O15" i="4" s="1"/>
  <c r="EQ57" i="2"/>
  <c r="N15" i="4" s="1"/>
  <c r="EP57" i="2"/>
  <c r="M15" i="4" s="1"/>
  <c r="EO57" i="2"/>
  <c r="L15" i="4" s="1"/>
  <c r="EN57" i="2"/>
  <c r="K15" i="4" s="1"/>
  <c r="EM57" i="2"/>
  <c r="J15" i="4" s="1"/>
  <c r="EL57" i="2"/>
  <c r="I15" i="4" s="1"/>
  <c r="EK57" i="2"/>
  <c r="H15" i="4" s="1"/>
  <c r="EJ57" i="2"/>
  <c r="G15" i="4" s="1"/>
  <c r="ED57" i="2"/>
  <c r="R14" i="4" s="1"/>
  <c r="EC57" i="2"/>
  <c r="Q14" i="4" s="1"/>
  <c r="EB57" i="2"/>
  <c r="P14" i="4" s="1"/>
  <c r="EA57" i="2"/>
  <c r="O14" i="4" s="1"/>
  <c r="DZ57" i="2"/>
  <c r="N14" i="4" s="1"/>
  <c r="DY57" i="2"/>
  <c r="M14" i="4" s="1"/>
  <c r="DX57" i="2"/>
  <c r="L14" i="4" s="1"/>
  <c r="DW57" i="2"/>
  <c r="K14" i="4" s="1"/>
  <c r="DV57" i="2"/>
  <c r="J14" i="4" s="1"/>
  <c r="DU57" i="2"/>
  <c r="I14" i="4" s="1"/>
  <c r="DT57" i="2"/>
  <c r="H14" i="4" s="1"/>
  <c r="DS57" i="2"/>
  <c r="G14" i="4" s="1"/>
  <c r="DM57" i="2"/>
  <c r="R13" i="4" s="1"/>
  <c r="DL57" i="2"/>
  <c r="Q13" i="4" s="1"/>
  <c r="DK57" i="2"/>
  <c r="P13" i="4" s="1"/>
  <c r="DJ57" i="2"/>
  <c r="O13" i="4" s="1"/>
  <c r="DI57" i="2"/>
  <c r="N13" i="4" s="1"/>
  <c r="DH57" i="2"/>
  <c r="M13" i="4" s="1"/>
  <c r="DG57" i="2"/>
  <c r="L13" i="4" s="1"/>
  <c r="DF57" i="2"/>
  <c r="K13" i="4" s="1"/>
  <c r="DE57" i="2"/>
  <c r="J13" i="4" s="1"/>
  <c r="DD57" i="2"/>
  <c r="I13" i="4" s="1"/>
  <c r="DC57" i="2"/>
  <c r="H13" i="4" s="1"/>
  <c r="DB57" i="2"/>
  <c r="G13" i="4" s="1"/>
  <c r="CV57" i="2"/>
  <c r="R12" i="4" s="1"/>
  <c r="CU57" i="2"/>
  <c r="Q12" i="4" s="1"/>
  <c r="CT57" i="2"/>
  <c r="P12" i="4" s="1"/>
  <c r="CS57" i="2"/>
  <c r="O12" i="4" s="1"/>
  <c r="CR57" i="2"/>
  <c r="N12" i="4" s="1"/>
  <c r="CQ57" i="2"/>
  <c r="M12" i="4" s="1"/>
  <c r="CP57" i="2"/>
  <c r="L12" i="4" s="1"/>
  <c r="CO57" i="2"/>
  <c r="K12" i="4" s="1"/>
  <c r="CN57" i="2"/>
  <c r="J12" i="4" s="1"/>
  <c r="CM57" i="2"/>
  <c r="I12" i="4" s="1"/>
  <c r="CL57" i="2"/>
  <c r="H12" i="4" s="1"/>
  <c r="CK57" i="2"/>
  <c r="G12" i="4" s="1"/>
  <c r="CE57" i="2"/>
  <c r="R11" i="4" s="1"/>
  <c r="CD57" i="2"/>
  <c r="Q11" i="4" s="1"/>
  <c r="CC57" i="2"/>
  <c r="P11" i="4" s="1"/>
  <c r="CB57" i="2"/>
  <c r="O11" i="4" s="1"/>
  <c r="CA57" i="2"/>
  <c r="N11" i="4" s="1"/>
  <c r="BZ57" i="2"/>
  <c r="M11" i="4" s="1"/>
  <c r="BY57" i="2"/>
  <c r="L11" i="4" s="1"/>
  <c r="BX57" i="2"/>
  <c r="K11" i="4" s="1"/>
  <c r="BW57" i="2"/>
  <c r="J11" i="4" s="1"/>
  <c r="BV57" i="2"/>
  <c r="I11" i="4" s="1"/>
  <c r="BU57" i="2"/>
  <c r="H11" i="4" s="1"/>
  <c r="BT57" i="2"/>
  <c r="G11" i="4" s="1"/>
  <c r="BN57" i="2"/>
  <c r="R10" i="4" s="1"/>
  <c r="BM57" i="2"/>
  <c r="Q10" i="4" s="1"/>
  <c r="BL57" i="2"/>
  <c r="P10" i="4" s="1"/>
  <c r="BK57" i="2"/>
  <c r="O10" i="4" s="1"/>
  <c r="BJ57" i="2"/>
  <c r="N10" i="4" s="1"/>
  <c r="BI57" i="2"/>
  <c r="M10" i="4" s="1"/>
  <c r="BH57" i="2"/>
  <c r="L10" i="4" s="1"/>
  <c r="BG57" i="2"/>
  <c r="K10" i="4" s="1"/>
  <c r="BF57" i="2"/>
  <c r="J10" i="4" s="1"/>
  <c r="BE57" i="2"/>
  <c r="I10" i="4" s="1"/>
  <c r="BD57" i="2"/>
  <c r="H10" i="4" s="1"/>
  <c r="BC57" i="2"/>
  <c r="G10" i="4" s="1"/>
  <c r="AW57" i="2"/>
  <c r="R9" i="4" s="1"/>
  <c r="AV57" i="2"/>
  <c r="Q9" i="4" s="1"/>
  <c r="AU57" i="2"/>
  <c r="P9" i="4" s="1"/>
  <c r="AT57" i="2"/>
  <c r="O9" i="4" s="1"/>
  <c r="AS57" i="2"/>
  <c r="N9" i="4" s="1"/>
  <c r="AR57" i="2"/>
  <c r="M9" i="4" s="1"/>
  <c r="AQ57" i="2"/>
  <c r="L9" i="4" s="1"/>
  <c r="AP57" i="2"/>
  <c r="K9" i="4" s="1"/>
  <c r="AO57" i="2"/>
  <c r="J9" i="4" s="1"/>
  <c r="AN57" i="2"/>
  <c r="I9" i="4" s="1"/>
  <c r="AM57" i="2"/>
  <c r="H9" i="4" s="1"/>
  <c r="AL57" i="2"/>
  <c r="G9" i="4" s="1"/>
  <c r="AF57" i="2"/>
  <c r="R8" i="4" s="1"/>
  <c r="AE57" i="2"/>
  <c r="Q8" i="4" s="1"/>
  <c r="AD57" i="2"/>
  <c r="P8" i="4" s="1"/>
  <c r="AC57" i="2"/>
  <c r="O8" i="4" s="1"/>
  <c r="AB57" i="2"/>
  <c r="N8" i="4" s="1"/>
  <c r="AA57" i="2"/>
  <c r="M8" i="4" s="1"/>
  <c r="Z57" i="2"/>
  <c r="L8" i="4" s="1"/>
  <c r="Y57" i="2"/>
  <c r="K8" i="4" s="1"/>
  <c r="X57" i="2"/>
  <c r="J8" i="4" s="1"/>
  <c r="W57" i="2"/>
  <c r="I8" i="4" s="1"/>
  <c r="V57" i="2"/>
  <c r="H8" i="4" s="1"/>
  <c r="U57" i="2"/>
  <c r="G8" i="4" s="1"/>
  <c r="O57" i="2"/>
  <c r="R7" i="4" s="1"/>
  <c r="N57" i="2"/>
  <c r="Q7" i="4" s="1"/>
  <c r="M57" i="2"/>
  <c r="P7" i="4" s="1"/>
  <c r="L57" i="2"/>
  <c r="O7" i="4" s="1"/>
  <c r="K57" i="2"/>
  <c r="N7" i="4" s="1"/>
  <c r="J57" i="2"/>
  <c r="M7" i="4" s="1"/>
  <c r="I57" i="2"/>
  <c r="L7" i="4" s="1"/>
  <c r="H57" i="2"/>
  <c r="K7" i="4" s="1"/>
  <c r="G57" i="2"/>
  <c r="J7" i="4" s="1"/>
  <c r="F57" i="2"/>
  <c r="I7" i="4" s="1"/>
  <c r="E57" i="2"/>
  <c r="H7" i="4" s="1"/>
  <c r="D57" i="2"/>
  <c r="G7" i="4" s="1"/>
  <c r="A5" i="2"/>
  <c r="C12" i="4" s="1"/>
  <c r="HN5" i="2"/>
  <c r="C25" i="4" s="1"/>
  <c r="GW5" i="2"/>
  <c r="C24" i="4" s="1"/>
  <c r="GF5" i="2"/>
  <c r="C23" i="4" s="1"/>
  <c r="FO5" i="2"/>
  <c r="C22" i="4" s="1"/>
  <c r="EX5" i="2"/>
  <c r="C21" i="4" s="1"/>
  <c r="EG5" i="2"/>
  <c r="C20" i="4" s="1"/>
  <c r="DP5" i="2"/>
  <c r="C19" i="4" s="1"/>
  <c r="CY5" i="2"/>
  <c r="C18" i="4" s="1"/>
  <c r="CH5" i="2"/>
  <c r="C17" i="4" s="1"/>
  <c r="BQ5" i="2"/>
  <c r="C16" i="4" s="1"/>
  <c r="AZ5" i="2"/>
  <c r="C15" i="4" s="1"/>
  <c r="AI5" i="2"/>
  <c r="C14" i="4" s="1"/>
  <c r="R5" i="2"/>
  <c r="C13" i="4" s="1"/>
  <c r="IB3" i="2"/>
  <c r="IA3" i="2"/>
  <c r="HZ3" i="2"/>
  <c r="HY3" i="2"/>
  <c r="HX3" i="2"/>
  <c r="HW3" i="2"/>
  <c r="HV3" i="2"/>
  <c r="HU3" i="2"/>
  <c r="HT3" i="2"/>
  <c r="HS3" i="2"/>
  <c r="HR3" i="2"/>
  <c r="HQ3" i="2"/>
  <c r="HK3" i="2"/>
  <c r="HJ3" i="2"/>
  <c r="HI3" i="2"/>
  <c r="HH3" i="2"/>
  <c r="HG3" i="2"/>
  <c r="HF3" i="2"/>
  <c r="HE3" i="2"/>
  <c r="HD3" i="2"/>
  <c r="HC3" i="2"/>
  <c r="HB3" i="2"/>
  <c r="HA3" i="2"/>
  <c r="GZ3" i="2"/>
  <c r="GT3" i="2"/>
  <c r="GS3" i="2"/>
  <c r="GR3" i="2"/>
  <c r="GQ3" i="2"/>
  <c r="GP3" i="2"/>
  <c r="GO3" i="2"/>
  <c r="GN3" i="2"/>
  <c r="GM3" i="2"/>
  <c r="GL3" i="2"/>
  <c r="GK3" i="2"/>
  <c r="GJ3" i="2"/>
  <c r="GI3" i="2"/>
  <c r="GC3" i="2"/>
  <c r="GB3" i="2"/>
  <c r="GA3" i="2"/>
  <c r="FZ3" i="2"/>
  <c r="FY3" i="2"/>
  <c r="FX3" i="2"/>
  <c r="FW3" i="2"/>
  <c r="FV3" i="2"/>
  <c r="FU3" i="2"/>
  <c r="FT3" i="2"/>
  <c r="FS3" i="2"/>
  <c r="FR3" i="2"/>
  <c r="FL3" i="2"/>
  <c r="FK3" i="2"/>
  <c r="FJ3" i="2"/>
  <c r="FI3" i="2"/>
  <c r="FH3" i="2"/>
  <c r="FG3" i="2"/>
  <c r="FF3" i="2"/>
  <c r="FE3" i="2"/>
  <c r="FD3" i="2"/>
  <c r="FC3" i="2"/>
  <c r="FB3" i="2"/>
  <c r="FA3" i="2"/>
  <c r="EU3" i="2"/>
  <c r="ET3" i="2"/>
  <c r="ES3" i="2"/>
  <c r="ER3" i="2"/>
  <c r="EQ3" i="2"/>
  <c r="EP3" i="2"/>
  <c r="EO3" i="2"/>
  <c r="EN3" i="2"/>
  <c r="EM3" i="2"/>
  <c r="EL3" i="2"/>
  <c r="EK3" i="2"/>
  <c r="EJ3" i="2"/>
  <c r="ED3" i="2"/>
  <c r="EC3" i="2"/>
  <c r="EB3" i="2"/>
  <c r="EA3" i="2"/>
  <c r="DZ3" i="2"/>
  <c r="DY3" i="2"/>
  <c r="DX3" i="2"/>
  <c r="DW3" i="2"/>
  <c r="DV3" i="2"/>
  <c r="DU3" i="2"/>
  <c r="DT3" i="2"/>
  <c r="DS3" i="2"/>
  <c r="DM3" i="2"/>
  <c r="DL3" i="2"/>
  <c r="DK3" i="2"/>
  <c r="DJ3" i="2"/>
  <c r="DI3" i="2"/>
  <c r="DH3" i="2"/>
  <c r="DG3" i="2"/>
  <c r="DF3" i="2"/>
  <c r="DE3" i="2"/>
  <c r="DD3" i="2"/>
  <c r="DC3" i="2"/>
  <c r="DB3" i="2"/>
  <c r="CV3" i="2"/>
  <c r="CU3" i="2"/>
  <c r="CT3" i="2"/>
  <c r="CS3" i="2"/>
  <c r="CR3" i="2"/>
  <c r="CQ3" i="2"/>
  <c r="CP3" i="2"/>
  <c r="CO3" i="2"/>
  <c r="CN3" i="2"/>
  <c r="CM3" i="2"/>
  <c r="CL3" i="2"/>
  <c r="CK3" i="2"/>
  <c r="CE3" i="2"/>
  <c r="CD3" i="2"/>
  <c r="CC3" i="2"/>
  <c r="CB3" i="2"/>
  <c r="CA3" i="2"/>
  <c r="BZ3" i="2"/>
  <c r="BY3" i="2"/>
  <c r="BX3" i="2"/>
  <c r="BW3" i="2"/>
  <c r="BV3" i="2"/>
  <c r="BU3" i="2"/>
  <c r="BT3" i="2"/>
  <c r="BN3" i="2"/>
  <c r="BM3" i="2"/>
  <c r="BL3" i="2"/>
  <c r="BK3" i="2"/>
  <c r="BJ3" i="2"/>
  <c r="BI3" i="2"/>
  <c r="BH3" i="2"/>
  <c r="BG3" i="2"/>
  <c r="BF3" i="2"/>
  <c r="BE3" i="2"/>
  <c r="BD3" i="2"/>
  <c r="BC3" i="2"/>
  <c r="AW3" i="2"/>
  <c r="AV3" i="2"/>
  <c r="AU3" i="2"/>
  <c r="AT3" i="2"/>
  <c r="AS3" i="2"/>
  <c r="AR3" i="2"/>
  <c r="AQ3" i="2"/>
  <c r="AP3" i="2"/>
  <c r="AO3" i="2"/>
  <c r="AN3" i="2"/>
  <c r="AM3" i="2"/>
  <c r="AL3" i="2"/>
  <c r="AF3" i="2"/>
  <c r="AE3" i="2"/>
  <c r="AD3" i="2"/>
  <c r="AC3" i="2"/>
  <c r="AB3" i="2"/>
  <c r="AA3" i="2"/>
  <c r="Z3" i="2"/>
  <c r="Y3" i="2"/>
  <c r="X3" i="2"/>
  <c r="W3" i="2"/>
  <c r="V3" i="2"/>
  <c r="U3" i="2"/>
  <c r="O3" i="2"/>
  <c r="N3" i="2"/>
  <c r="M3" i="2"/>
  <c r="L3" i="2"/>
  <c r="K3" i="2"/>
  <c r="J3" i="2"/>
  <c r="I3" i="2"/>
  <c r="H3" i="2"/>
  <c r="G3" i="2"/>
  <c r="F3" i="2"/>
  <c r="E3" i="2"/>
  <c r="D3" i="2"/>
</calcChain>
</file>

<file path=xl/sharedStrings.xml><?xml version="1.0" encoding="utf-8"?>
<sst xmlns="http://schemas.openxmlformats.org/spreadsheetml/2006/main" count="388" uniqueCount="72">
  <si>
    <t>Month</t>
  </si>
  <si>
    <t>Year</t>
  </si>
  <si>
    <t>Rent</t>
  </si>
  <si>
    <t>Transportation</t>
  </si>
  <si>
    <t>Staff</t>
  </si>
  <si>
    <t>Labour</t>
  </si>
  <si>
    <t>Electricity</t>
  </si>
  <si>
    <t>Telephone</t>
  </si>
  <si>
    <t>Insurance</t>
  </si>
  <si>
    <t>Stationary</t>
  </si>
  <si>
    <t>Tea/Water</t>
  </si>
  <si>
    <t>General</t>
  </si>
  <si>
    <t>Repair and Maintainance</t>
  </si>
  <si>
    <t>Laser Cutting</t>
  </si>
  <si>
    <t>Internet</t>
  </si>
  <si>
    <t>Office Expenses</t>
  </si>
  <si>
    <t>Thread</t>
  </si>
  <si>
    <t>Ironning</t>
  </si>
  <si>
    <t>Amount (in Rs)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</si>
  <si>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</si>
  <si>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</si>
  <si>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</si>
  <si>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</si>
  <si>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</si>
  <si>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</si>
  <si>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</si>
  <si>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</si>
  <si>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</si>
  <si>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</si>
  <si>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</si>
  <si>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</si>
  <si>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Expenses</t>
  </si>
  <si>
    <t>July</t>
  </si>
  <si>
    <t>Total expenses</t>
  </si>
  <si>
    <t>Sum(Month Totals)</t>
  </si>
  <si>
    <t>** Add extra Expenses</t>
  </si>
  <si>
    <t>Expense Name</t>
  </si>
  <si>
    <t>Amount</t>
  </si>
  <si>
    <t>Instructions:</t>
  </si>
  <si>
    <t>1. Start with first selecting Year and Month as shown below</t>
  </si>
  <si>
    <t>2. Now add the Expenses amounts as per the list below:</t>
  </si>
  <si>
    <t>3. If you want to add extra expenses, click the Extra Expenses button</t>
  </si>
  <si>
    <t>** In this example, the expenses will be for Dec, 2020</t>
  </si>
  <si>
    <r>
      <t>4. Now, record these Expenses, by clicking on the '</t>
    </r>
    <r>
      <rPr>
        <b/>
        <sz val="11"/>
        <color theme="1"/>
        <rFont val="Calibri"/>
        <family val="2"/>
        <scheme val="minor"/>
      </rPr>
      <t>Record Expenses</t>
    </r>
    <r>
      <rPr>
        <sz val="11"/>
        <color theme="1"/>
        <rFont val="Calibri"/>
        <family val="2"/>
        <scheme val="minor"/>
      </rPr>
      <t>' Button</t>
    </r>
  </si>
  <si>
    <t>Important</t>
  </si>
  <si>
    <t>Enter the Months as per the following format:</t>
  </si>
  <si>
    <t>5. After, recording the Data for the following month and year, it is time to create charts:</t>
  </si>
  <si>
    <t>January --</t>
  </si>
  <si>
    <t>February --</t>
  </si>
  <si>
    <t>March --</t>
  </si>
  <si>
    <t>April --</t>
  </si>
  <si>
    <t>May --</t>
  </si>
  <si>
    <t>June --</t>
  </si>
  <si>
    <t>July --</t>
  </si>
  <si>
    <t>August --</t>
  </si>
  <si>
    <t>September --</t>
  </si>
  <si>
    <t>October --</t>
  </si>
  <si>
    <t>November --</t>
  </si>
  <si>
    <t>December --</t>
  </si>
  <si>
    <t>There are 3 variations of Charts:</t>
  </si>
  <si>
    <t>2. One Year View (Column Chart)</t>
  </si>
  <si>
    <t>1. Year on Year View (Bar Chart)</t>
  </si>
  <si>
    <t>3. Monthy View (Pie-Chart)</t>
  </si>
  <si>
    <t>6. Reset button will Delete the extra expenses but the usual expenses will be there</t>
  </si>
  <si>
    <t>Chrt_indi</t>
  </si>
  <si>
    <t>chrt_standard_name</t>
  </si>
  <si>
    <t>Yearly Column Chart</t>
  </si>
  <si>
    <t>Computer Maintainance</t>
  </si>
  <si>
    <t>Expense 1</t>
  </si>
  <si>
    <t>Fuel</t>
  </si>
  <si>
    <t>Bank Interest</t>
  </si>
  <si>
    <t>Bank Withdrawl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</si>
</sst>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onsolas"/>
      <family val="3"/>
    </font>
    <font>
      <b/>
      <sz val="12"/>
      <color theme="1"/>
      <name val="Consolas"/>
      <family val="3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1" xfId="0" applyBorder="1"/>
    <xf numFmtId="0" fontId="0" fillId="0" borderId="1" xfId="0" applyBorder="1" applyAlignment="1">
      <alignment wrapText="1"/>
    </xf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0" borderId="0" xfId="0" applyAlignment="1">
      <alignment wrapText="1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 wrapText="1"/>
    </xf>
    <xf numFmtId="0" fontId="2" fillId="5" borderId="6" xfId="0" applyFont="1" applyFill="1" applyBorder="1" applyAlignment="1">
      <alignment horizontal="center"/>
    </xf>
    <xf numFmtId="0" fontId="4" fillId="6" borderId="0" xfId="0" applyFont="1" applyFill="1" applyBorder="1"/>
    <xf numFmtId="0" fontId="1" fillId="6" borderId="0" xfId="0" applyFont="1" applyFill="1" applyBorder="1"/>
    <xf numFmtId="0" fontId="7" fillId="0" borderId="0" xfId="0" applyFont="1"/>
    <xf numFmtId="0" fontId="0" fillId="7" borderId="0" xfId="0" applyFill="1"/>
    <xf numFmtId="0" fontId="0" fillId="0" borderId="0" xfId="0" applyFill="1"/>
    <xf numFmtId="0" fontId="8" fillId="0" borderId="0" xfId="0" applyFont="1"/>
    <xf numFmtId="0" fontId="5" fillId="0" borderId="0" xfId="0" applyFont="1"/>
    <xf numFmtId="0" fontId="6" fillId="0" borderId="0" xfId="0" applyFont="1" applyFill="1"/>
    <xf numFmtId="0" fontId="1" fillId="0" borderId="0" xfId="0" applyFont="1" applyFill="1"/>
    <xf numFmtId="0" fontId="1" fillId="3" borderId="0" xfId="0" applyFont="1" applyFill="1"/>
    <xf numFmtId="0" fontId="4" fillId="0" borderId="0" xfId="0" applyFont="1"/>
    <xf numFmtId="0" fontId="1" fillId="6" borderId="0" xfId="0" applyFont="1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Expenses</a:t>
            </a:r>
          </a:p>
          <a:p>
            <a:pPr>
              <a:defRPr/>
            </a:pPr>
            <a:r>
              <a:rPr lang="en-US"/>
              <a:t>(Year on Year</a:t>
            </a:r>
            <a:r>
              <a:rPr lang="en-US" baseline="0"/>
              <a:t> View)</a:t>
            </a:r>
            <a:endParaRPr lang="en-US"/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Total Expenses</c:v>
          </c:tx>
          <c:invertIfNegative val="0"/>
          <c:cat>
            <c:numRef>
              <c:f>'Charts Data'!$B$7:$B$25</c:f>
              <c:numCache>
                <c:formatCode>General</c:formatCode>
                <c:ptCount val="19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  <c:pt idx="15">
                  <c:v>2026</c:v>
                </c:pt>
                <c:pt idx="16">
                  <c:v>2027</c:v>
                </c:pt>
                <c:pt idx="17">
                  <c:v>2028</c:v>
                </c:pt>
                <c:pt idx="18">
                  <c:v>2029</c:v>
                </c:pt>
              </c:numCache>
            </c:numRef>
          </c:cat>
          <c:val>
            <c:numRef>
              <c:f>'Charts Data'!$C$7:$C$25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C-464E-A6D0-5334E5ACE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995072"/>
        <c:axId val="107697280"/>
      </c:barChart>
      <c:dateAx>
        <c:axId val="1069950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07697280"/>
        <c:crosses val="autoZero"/>
        <c:auto val="0"/>
        <c:lblOffset val="100"/>
        <c:baseTimeUnit val="days"/>
        <c:majorUnit val="1"/>
      </c:dateAx>
      <c:valAx>
        <c:axId val="10769728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069950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2011 Monthly View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Months</c:v>
          </c:tx>
          <c:invertIfNegative val="0"/>
          <c:cat>
            <c:strRef>
              <c:f>'Charts Data'!$G$6:$R$6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'Charts Data'!$G$21:$R$21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67-480E-ACF8-12E9EA943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725952"/>
        <c:axId val="107727488"/>
      </c:barChart>
      <c:catAx>
        <c:axId val="1077259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7727488"/>
        <c:crosses val="autoZero"/>
        <c:auto val="1"/>
        <c:lblAlgn val="ctr"/>
        <c:lblOffset val="100"/>
        <c:noMultiLvlLbl val="0"/>
      </c:catAx>
      <c:valAx>
        <c:axId val="107727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72595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View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Expenses Type</c:v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'Data Record'!$IG$5:$IG$23</c:f>
              <c:strCache>
                <c:ptCount val="19"/>
                <c:pt idx="0">
                  <c:v>Rent</c:v>
                </c:pt>
                <c:pt idx="1">
                  <c:v>Transportation</c:v>
                </c:pt>
                <c:pt idx="2">
                  <c:v>Staff</c:v>
                </c:pt>
                <c:pt idx="3">
                  <c:v>Labour</c:v>
                </c:pt>
                <c:pt idx="4">
                  <c:v>Electricity</c:v>
                </c:pt>
                <c:pt idx="5">
                  <c:v>Telephone</c:v>
                </c:pt>
                <c:pt idx="6">
                  <c:v>Fuel</c:v>
                </c:pt>
                <c:pt idx="7">
                  <c:v>Insurance</c:v>
                </c:pt>
                <c:pt idx="8">
                  <c:v>Bank Interest</c:v>
                </c:pt>
                <c:pt idx="9">
                  <c:v>Stationary</c:v>
                </c:pt>
                <c:pt idx="10">
                  <c:v>Tea/Water</c:v>
                </c:pt>
                <c:pt idx="11">
                  <c:v>General</c:v>
                </c:pt>
                <c:pt idx="12">
                  <c:v>Repair and Maintainance</c:v>
                </c:pt>
                <c:pt idx="13">
                  <c:v>Laser Cutting</c:v>
                </c:pt>
                <c:pt idx="14">
                  <c:v>Internet</c:v>
                </c:pt>
                <c:pt idx="15">
                  <c:v>Office Expenses</c:v>
                </c:pt>
                <c:pt idx="16">
                  <c:v>Bank Withdrawl</c:v>
                </c:pt>
                <c:pt idx="17">
                  <c:v>Thread</c:v>
                </c:pt>
                <c:pt idx="18">
                  <c:v>Ironning</c:v>
                </c:pt>
              </c:strCache>
            </c:strRef>
          </c:cat>
          <c:val>
            <c:numRef>
              <c:f>'Data Record'!$IO$5:$IO$23</c:f>
              <c:numCache>
                <c:formatCode>General</c:formatCode>
                <c:ptCount val="19"/>
              </c:numCache>
            </c:numRef>
          </c:val>
          <c:extLst>
            <c:ext xmlns:c16="http://schemas.microsoft.com/office/drawing/2014/chart" uri="{C3380CC4-5D6E-409C-BE32-E72D297353CC}">
              <c16:uniqueId val="{00000000-908A-4AAA-8E7B-56D569D6F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7392021442235195"/>
          <c:y val="0.14563685450354658"/>
          <c:w val="0.31760520930646463"/>
          <c:h val="0.8075302195104247"/>
        </c:manualLayout>
      </c:layout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hyperlink" Target="#'Expense Sheet'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4</xdr:row>
      <xdr:rowOff>38100</xdr:rowOff>
    </xdr:from>
    <xdr:to>
      <xdr:col>5</xdr:col>
      <xdr:colOff>400050</xdr:colOff>
      <xdr:row>7</xdr:row>
      <xdr:rowOff>76200</xdr:rowOff>
    </xdr:to>
    <xdr:pic>
      <xdr:nvPicPr>
        <xdr:cNvPr id="2" name="Picture 1" descr="Pic1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7725" y="847725"/>
          <a:ext cx="2600325" cy="609600"/>
        </a:xfrm>
        <a:prstGeom prst="rect">
          <a:avLst/>
        </a:prstGeom>
      </xdr:spPr>
    </xdr:pic>
    <xdr:clientData/>
  </xdr:twoCellAnchor>
  <xdr:twoCellAnchor editAs="oneCell">
    <xdr:from>
      <xdr:col>6</xdr:col>
      <xdr:colOff>323850</xdr:colOff>
      <xdr:row>8</xdr:row>
      <xdr:rowOff>171450</xdr:rowOff>
    </xdr:from>
    <xdr:to>
      <xdr:col>6</xdr:col>
      <xdr:colOff>2244954</xdr:colOff>
      <xdr:row>18</xdr:row>
      <xdr:rowOff>142875</xdr:rowOff>
    </xdr:to>
    <xdr:pic>
      <xdr:nvPicPr>
        <xdr:cNvPr id="3" name="Picture 2" descr="pic2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81450" y="1743075"/>
          <a:ext cx="1921104" cy="1876425"/>
        </a:xfrm>
        <a:prstGeom prst="rect">
          <a:avLst/>
        </a:prstGeom>
      </xdr:spPr>
    </xdr:pic>
    <xdr:clientData/>
  </xdr:twoCellAnchor>
  <xdr:twoCellAnchor editAs="oneCell">
    <xdr:from>
      <xdr:col>1</xdr:col>
      <xdr:colOff>514350</xdr:colOff>
      <xdr:row>21</xdr:row>
      <xdr:rowOff>12828</xdr:rowOff>
    </xdr:from>
    <xdr:to>
      <xdr:col>3</xdr:col>
      <xdr:colOff>523876</xdr:colOff>
      <xdr:row>23</xdr:row>
      <xdr:rowOff>176828</xdr:rowOff>
    </xdr:to>
    <xdr:pic>
      <xdr:nvPicPr>
        <xdr:cNvPr id="4" name="Picture 3" descr="pic3.JP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3950" y="4060953"/>
          <a:ext cx="1228726" cy="545000"/>
        </a:xfrm>
        <a:prstGeom prst="rect">
          <a:avLst/>
        </a:prstGeom>
      </xdr:spPr>
    </xdr:pic>
    <xdr:clientData/>
  </xdr:twoCellAnchor>
  <xdr:twoCellAnchor editAs="oneCell">
    <xdr:from>
      <xdr:col>5</xdr:col>
      <xdr:colOff>120803</xdr:colOff>
      <xdr:row>21</xdr:row>
      <xdr:rowOff>57151</xdr:rowOff>
    </xdr:from>
    <xdr:to>
      <xdr:col>6</xdr:col>
      <xdr:colOff>1122173</xdr:colOff>
      <xdr:row>28</xdr:row>
      <xdr:rowOff>38100</xdr:rowOff>
    </xdr:to>
    <xdr:pic>
      <xdr:nvPicPr>
        <xdr:cNvPr id="5" name="Picture 4" descr="pic4.JP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68803" y="4105276"/>
          <a:ext cx="1610970" cy="1314449"/>
        </a:xfrm>
        <a:prstGeom prst="rect">
          <a:avLst/>
        </a:prstGeom>
      </xdr:spPr>
    </xdr:pic>
    <xdr:clientData/>
  </xdr:twoCellAnchor>
  <xdr:twoCellAnchor editAs="oneCell">
    <xdr:from>
      <xdr:col>1</xdr:col>
      <xdr:colOff>466725</xdr:colOff>
      <xdr:row>30</xdr:row>
      <xdr:rowOff>161925</xdr:rowOff>
    </xdr:from>
    <xdr:to>
      <xdr:col>3</xdr:col>
      <xdr:colOff>381000</xdr:colOff>
      <xdr:row>33</xdr:row>
      <xdr:rowOff>180975</xdr:rowOff>
    </xdr:to>
    <xdr:pic>
      <xdr:nvPicPr>
        <xdr:cNvPr id="6" name="Picture 5" descr="pic5.JP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76325" y="5924550"/>
          <a:ext cx="1133475" cy="59055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476250</xdr:colOff>
      <xdr:row>36</xdr:row>
      <xdr:rowOff>105833</xdr:rowOff>
    </xdr:from>
    <xdr:to>
      <xdr:col>6</xdr:col>
      <xdr:colOff>1524000</xdr:colOff>
      <xdr:row>39</xdr:row>
      <xdr:rowOff>48683</xdr:rowOff>
    </xdr:to>
    <xdr:pic>
      <xdr:nvPicPr>
        <xdr:cNvPr id="7" name="Picture 6" descr="pic6.JPG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9250" y="7016750"/>
          <a:ext cx="1047750" cy="5143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12</xdr:row>
          <xdr:rowOff>28575</xdr:rowOff>
        </xdr:from>
        <xdr:to>
          <xdr:col>5</xdr:col>
          <xdr:colOff>247650</xdr:colOff>
          <xdr:row>13</xdr:row>
          <xdr:rowOff>161925</xdr:rowOff>
        </xdr:to>
        <xdr:sp macro="" textlink="">
          <xdr:nvSpPr>
            <xdr:cNvPr id="1026" name="Enter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20</xdr:row>
          <xdr:rowOff>47625</xdr:rowOff>
        </xdr:from>
        <xdr:to>
          <xdr:col>8</xdr:col>
          <xdr:colOff>533400</xdr:colOff>
          <xdr:row>21</xdr:row>
          <xdr:rowOff>142875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12</xdr:row>
          <xdr:rowOff>38100</xdr:rowOff>
        </xdr:from>
        <xdr:to>
          <xdr:col>7</xdr:col>
          <xdr:colOff>342900</xdr:colOff>
          <xdr:row>13</xdr:row>
          <xdr:rowOff>133350</xdr:rowOff>
        </xdr:to>
        <xdr:sp macro="" textlink="">
          <xdr:nvSpPr>
            <xdr:cNvPr id="1032" name="Chart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7</xdr:row>
          <xdr:rowOff>66675</xdr:rowOff>
        </xdr:from>
        <xdr:to>
          <xdr:col>6</xdr:col>
          <xdr:colOff>247650</xdr:colOff>
          <xdr:row>8</xdr:row>
          <xdr:rowOff>142875</xdr:rowOff>
        </xdr:to>
        <xdr:sp macro="" textlink="">
          <xdr:nvSpPr>
            <xdr:cNvPr id="1033" name="Extra_expens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114299</xdr:colOff>
      <xdr:row>1</xdr:row>
      <xdr:rowOff>19051</xdr:rowOff>
    </xdr:from>
    <xdr:to>
      <xdr:col>10</xdr:col>
      <xdr:colOff>285750</xdr:colOff>
      <xdr:row>19</xdr:row>
      <xdr:rowOff>123825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47624</xdr:colOff>
      <xdr:row>1</xdr:row>
      <xdr:rowOff>133350</xdr:rowOff>
    </xdr:from>
    <xdr:to>
      <xdr:col>9</xdr:col>
      <xdr:colOff>571499</xdr:colOff>
      <xdr:row>18</xdr:row>
      <xdr:rowOff>57150</xdr:rowOff>
    </xdr:to>
    <xdr:graphicFrame macro="">
      <xdr:nvGraphicFramePr>
        <xdr:cNvPr id="6" name="Chart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152400</xdr:colOff>
      <xdr:row>1</xdr:row>
      <xdr:rowOff>123824</xdr:rowOff>
    </xdr:from>
    <xdr:to>
      <xdr:col>16</xdr:col>
      <xdr:colOff>0</xdr:colOff>
      <xdr:row>22</xdr:row>
      <xdr:rowOff>104775</xdr:rowOff>
    </xdr:to>
    <xdr:graphicFrame macro="">
      <xdr:nvGraphicFramePr>
        <xdr:cNvPr id="4" name="Chart 3" hidden="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123825</xdr:colOff>
      <xdr:row>0</xdr:row>
      <xdr:rowOff>85725</xdr:rowOff>
    </xdr:from>
    <xdr:to>
      <xdr:col>1</xdr:col>
      <xdr:colOff>47625</xdr:colOff>
      <xdr:row>1</xdr:row>
      <xdr:rowOff>152400</xdr:rowOff>
    </xdr:to>
    <xdr:sp macro="" textlink="">
      <xdr:nvSpPr>
        <xdr:cNvPr id="5" name="Left Arrow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23825" y="85725"/>
          <a:ext cx="533400" cy="2571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000"/>
            <a:t>Back</a:t>
          </a:r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66675</xdr:rowOff>
        </xdr:from>
        <xdr:to>
          <xdr:col>13</xdr:col>
          <xdr:colOff>19050</xdr:colOff>
          <xdr:row>1</xdr:row>
          <xdr:rowOff>133350</xdr:rowOff>
        </xdr:to>
        <xdr:sp macro="" textlink="">
          <xdr:nvSpPr>
            <xdr:cNvPr id="2049" name="save_chart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2:O43"/>
  <sheetViews>
    <sheetView showGridLines="0" zoomScale="90" zoomScaleNormal="90" workbookViewId="0"/>
  </sheetViews>
  <sheetFormatPr defaultRowHeight="15" x14ac:dyDescent="0.25"/>
  <cols>
    <col min="7" max="7" width="40.140625" bestFit="1" customWidth="1"/>
    <col min="9" max="9" width="1.85546875" style="22" customWidth="1"/>
    <col min="12" max="12" width="1.42578125" style="23" customWidth="1"/>
    <col min="14" max="14" width="12.7109375" bestFit="1" customWidth="1"/>
  </cols>
  <sheetData>
    <row r="2" spans="2:15" ht="18.75" x14ac:dyDescent="0.3">
      <c r="B2" s="21" t="s">
        <v>38</v>
      </c>
      <c r="K2" s="21" t="s">
        <v>44</v>
      </c>
      <c r="L2"/>
      <c r="N2" s="23"/>
    </row>
    <row r="3" spans="2:15" x14ac:dyDescent="0.25">
      <c r="K3" t="s">
        <v>45</v>
      </c>
      <c r="L3"/>
      <c r="N3" s="23"/>
    </row>
    <row r="4" spans="2:15" x14ac:dyDescent="0.25">
      <c r="B4" t="s">
        <v>39</v>
      </c>
      <c r="L4"/>
      <c r="N4" s="26" t="s">
        <v>47</v>
      </c>
      <c r="O4" s="25" t="s">
        <v>19</v>
      </c>
    </row>
    <row r="5" spans="2:15" x14ac:dyDescent="0.25">
      <c r="L5"/>
      <c r="N5" s="26" t="s">
        <v>48</v>
      </c>
      <c r="O5" s="25" t="s">
        <v>20</v>
      </c>
    </row>
    <row r="6" spans="2:15" x14ac:dyDescent="0.25">
      <c r="L6"/>
      <c r="N6" s="26" t="s">
        <v>49</v>
      </c>
      <c r="O6" s="25" t="s">
        <v>21</v>
      </c>
    </row>
    <row r="7" spans="2:15" x14ac:dyDescent="0.25">
      <c r="G7" s="24" t="s">
        <v>42</v>
      </c>
      <c r="L7"/>
      <c r="N7" s="26" t="s">
        <v>50</v>
      </c>
      <c r="O7" s="25" t="s">
        <v>22</v>
      </c>
    </row>
    <row r="8" spans="2:15" x14ac:dyDescent="0.25">
      <c r="L8"/>
      <c r="N8" s="26" t="s">
        <v>51</v>
      </c>
      <c r="O8" s="25" t="s">
        <v>23</v>
      </c>
    </row>
    <row r="9" spans="2:15" x14ac:dyDescent="0.25">
      <c r="L9"/>
      <c r="N9" s="26" t="s">
        <v>52</v>
      </c>
      <c r="O9" s="25" t="s">
        <v>24</v>
      </c>
    </row>
    <row r="10" spans="2:15" x14ac:dyDescent="0.25">
      <c r="B10" t="s">
        <v>40</v>
      </c>
      <c r="L10"/>
      <c r="N10" s="26" t="s">
        <v>53</v>
      </c>
      <c r="O10" s="25" t="s">
        <v>25</v>
      </c>
    </row>
    <row r="11" spans="2:15" x14ac:dyDescent="0.25">
      <c r="L11"/>
      <c r="N11" s="26" t="s">
        <v>54</v>
      </c>
      <c r="O11" s="25" t="s">
        <v>26</v>
      </c>
    </row>
    <row r="12" spans="2:15" x14ac:dyDescent="0.25">
      <c r="L12"/>
      <c r="N12" s="26" t="s">
        <v>55</v>
      </c>
      <c r="O12" s="25" t="s">
        <v>27</v>
      </c>
    </row>
    <row r="13" spans="2:15" x14ac:dyDescent="0.25">
      <c r="L13"/>
      <c r="N13" s="26" t="s">
        <v>56</v>
      </c>
      <c r="O13" s="25" t="s">
        <v>28</v>
      </c>
    </row>
    <row r="14" spans="2:15" x14ac:dyDescent="0.25">
      <c r="L14"/>
      <c r="N14" s="26" t="s">
        <v>57</v>
      </c>
      <c r="O14" s="25" t="s">
        <v>29</v>
      </c>
    </row>
    <row r="15" spans="2:15" x14ac:dyDescent="0.25">
      <c r="L15"/>
      <c r="N15" s="26" t="s">
        <v>58</v>
      </c>
      <c r="O15" s="25" t="s">
        <v>30</v>
      </c>
    </row>
    <row r="21" spans="2:2" x14ac:dyDescent="0.25">
      <c r="B21" t="s">
        <v>41</v>
      </c>
    </row>
    <row r="31" spans="2:2" x14ac:dyDescent="0.25">
      <c r="B31" t="s">
        <v>43</v>
      </c>
    </row>
    <row r="36" spans="2:4" x14ac:dyDescent="0.25">
      <c r="B36" t="s">
        <v>46</v>
      </c>
    </row>
    <row r="37" spans="2:4" x14ac:dyDescent="0.25">
      <c r="C37" t="s">
        <v>59</v>
      </c>
    </row>
    <row r="38" spans="2:4" x14ac:dyDescent="0.25">
      <c r="D38" t="s">
        <v>61</v>
      </c>
    </row>
    <row r="39" spans="2:4" x14ac:dyDescent="0.25">
      <c r="D39" t="s">
        <v>60</v>
      </c>
    </row>
    <row r="40" spans="2:4" x14ac:dyDescent="0.25">
      <c r="D40" t="s">
        <v>62</v>
      </c>
    </row>
    <row r="43" spans="2:4" x14ac:dyDescent="0.25">
      <c r="B43" t="s">
        <v>63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30"/>
  <sheetViews>
    <sheetView showGridLines="0" tabSelected="1" zoomScale="90" zoomScaleNormal="90" workbookViewId="0"/>
  </sheetViews>
  <sheetFormatPr defaultRowHeight="15" x14ac:dyDescent="0.25"/>
  <cols>
    <col min="2" max="2" width="18.42578125" bestFit="1" customWidth="1"/>
    <col min="3" max="3" width="19.5703125" bestFit="1" customWidth="1"/>
    <col min="15" max="16" width="9.140625" style="3"/>
  </cols>
  <sheetData>
    <row r="1" spans="2:16" ht="15.75" thickBot="1" x14ac:dyDescent="0.3">
      <c r="O1" s="3" t="s">
        <v>1</v>
      </c>
      <c r="P1" s="3" t="s">
        <v>0</v>
      </c>
    </row>
    <row r="2" spans="2:16" ht="15.75" thickBot="1" x14ac:dyDescent="0.3">
      <c r="B2" s="12" t="s">
        <v>1</v>
      </c>
      <c r="C2" s="12" t="s">
        <v>0</v>
      </c>
      <c r="O2" s="27">
        <v>2011</v>
      </c>
      <c r="P2" s="3" t="s">
        <v>19</v>
      </c>
    </row>
    <row r="3" spans="2:16" ht="15.75" thickBot="1" x14ac:dyDescent="0.3">
      <c r="B3" s="11">
        <v>2011</v>
      </c>
      <c r="C3" s="11" t="s">
        <v>28</v>
      </c>
      <c r="O3" s="27">
        <v>2012</v>
      </c>
      <c r="P3" s="3" t="s">
        <v>20</v>
      </c>
    </row>
    <row r="4" spans="2:16" ht="15.75" thickBot="1" x14ac:dyDescent="0.3">
      <c r="D4" s="6"/>
      <c r="O4" s="27">
        <v>2013</v>
      </c>
      <c r="P4" s="3" t="s">
        <v>21</v>
      </c>
    </row>
    <row r="5" spans="2:16" ht="16.5" thickBot="1" x14ac:dyDescent="0.3">
      <c r="B5" s="13" t="s">
        <v>31</v>
      </c>
      <c r="C5" s="14" t="s">
        <v>18</v>
      </c>
      <c r="O5" s="27">
        <v>2014</v>
      </c>
      <c r="P5" s="3" t="s">
        <v>22</v>
      </c>
    </row>
    <row r="6" spans="2:16" x14ac:dyDescent="0.25">
      <c r="B6" s="15" t="s">
        <v>2</v>
      </c>
      <c r="C6" s="8"/>
      <c r="O6" s="27">
        <v>2015</v>
      </c>
      <c r="P6" s="3" t="s">
        <v>23</v>
      </c>
    </row>
    <row r="7" spans="2:16" x14ac:dyDescent="0.25">
      <c r="B7" s="16" t="s">
        <v>3</v>
      </c>
      <c r="C7" s="9"/>
      <c r="O7" s="27">
        <v>2016</v>
      </c>
      <c r="P7" s="3" t="s">
        <v>24</v>
      </c>
    </row>
    <row r="8" spans="2:16" x14ac:dyDescent="0.25">
      <c r="B8" s="16" t="s">
        <v>4</v>
      </c>
      <c r="C8" s="9"/>
      <c r="O8" s="27">
        <v>2017</v>
      </c>
      <c r="P8" s="3" t="s">
        <v>25</v>
      </c>
    </row>
    <row r="9" spans="2:16" x14ac:dyDescent="0.25">
      <c r="B9" s="16" t="s">
        <v>5</v>
      </c>
      <c r="C9" s="9"/>
      <c r="O9" s="27">
        <v>2018</v>
      </c>
      <c r="P9" s="3" t="s">
        <v>26</v>
      </c>
    </row>
    <row r="10" spans="2:16" x14ac:dyDescent="0.25">
      <c r="B10" s="16" t="s">
        <v>6</v>
      </c>
      <c r="C10" s="9"/>
      <c r="O10" s="27">
        <v>2019</v>
      </c>
      <c r="P10" s="3" t="s">
        <v>27</v>
      </c>
    </row>
    <row r="11" spans="2:16" x14ac:dyDescent="0.25">
      <c r="B11" s="16" t="s">
        <v>7</v>
      </c>
      <c r="C11" s="9"/>
      <c r="O11" s="27">
        <v>2020</v>
      </c>
      <c r="P11" s="3" t="s">
        <v>28</v>
      </c>
    </row>
    <row r="12" spans="2:16" x14ac:dyDescent="0.25">
      <c r="B12" s="16" t="s">
        <v>69</v>
      </c>
      <c r="C12" s="9"/>
      <c r="O12" s="27">
        <v>2021</v>
      </c>
      <c r="P12" s="3" t="s">
        <v>29</v>
      </c>
    </row>
    <row r="13" spans="2:16" x14ac:dyDescent="0.25">
      <c r="B13" s="16" t="s">
        <v>8</v>
      </c>
      <c r="C13" s="9"/>
      <c r="O13" s="27">
        <v>2022</v>
      </c>
      <c r="P13" s="3" t="s">
        <v>30</v>
      </c>
    </row>
    <row r="14" spans="2:16" x14ac:dyDescent="0.25">
      <c r="B14" s="16" t="s">
        <v>70</v>
      </c>
      <c r="C14" s="9"/>
      <c r="O14" s="27">
        <v>2023</v>
      </c>
    </row>
    <row r="15" spans="2:16" x14ac:dyDescent="0.25">
      <c r="B15" s="16" t="s">
        <v>9</v>
      </c>
      <c r="C15" s="9"/>
      <c r="O15" s="27">
        <v>2024</v>
      </c>
    </row>
    <row r="16" spans="2:16" x14ac:dyDescent="0.25">
      <c r="B16" s="16" t="s">
        <v>10</v>
      </c>
      <c r="C16" s="9"/>
      <c r="O16" s="27">
        <v>2025</v>
      </c>
    </row>
    <row r="17" spans="2:16" x14ac:dyDescent="0.25">
      <c r="B17" s="16" t="s">
        <v>11</v>
      </c>
      <c r="C17" s="9"/>
      <c r="O17" s="27">
        <v>2026</v>
      </c>
    </row>
    <row r="18" spans="2:16" ht="32.25" customHeight="1" x14ac:dyDescent="0.25">
      <c r="B18" s="17" t="s">
        <v>12</v>
      </c>
      <c r="C18" s="9"/>
      <c r="O18" s="27">
        <v>2027</v>
      </c>
    </row>
    <row r="19" spans="2:16" x14ac:dyDescent="0.25">
      <c r="B19" s="16" t="s">
        <v>13</v>
      </c>
      <c r="C19" s="9"/>
      <c r="O19" s="27">
        <v>2028</v>
      </c>
    </row>
    <row r="20" spans="2:16" x14ac:dyDescent="0.25">
      <c r="B20" s="16" t="s">
        <v>14</v>
      </c>
      <c r="C20" s="9"/>
      <c r="O20" s="27">
        <v>2029</v>
      </c>
    </row>
    <row r="21" spans="2:16" x14ac:dyDescent="0.25">
      <c r="B21" s="16" t="s">
        <v>15</v>
      </c>
      <c r="C21" s="9"/>
      <c r="O21" s="27">
        <v>2030</v>
      </c>
    </row>
    <row r="22" spans="2:16" x14ac:dyDescent="0.25">
      <c r="B22" s="16" t="s">
        <v>71</v>
      </c>
      <c r="C22" s="9"/>
      <c r="O22" s="27">
        <v>2031</v>
      </c>
    </row>
    <row r="23" spans="2:16" x14ac:dyDescent="0.25">
      <c r="B23" s="16" t="s">
        <v>16</v>
      </c>
      <c r="C23" s="9"/>
      <c r="O23" s="27">
        <v>2032</v>
      </c>
    </row>
    <row r="24" spans="2:16" ht="15.75" thickBot="1" x14ac:dyDescent="0.3">
      <c r="B24" s="18" t="s">
        <v>17</v>
      </c>
      <c r="C24" s="10"/>
      <c r="O24" s="27">
        <v>2033</v>
      </c>
    </row>
    <row r="25" spans="2:16" x14ac:dyDescent="0.25">
      <c r="O25"/>
      <c r="P25"/>
    </row>
    <row r="26" spans="2:16" x14ac:dyDescent="0.25">
      <c r="O26"/>
      <c r="P26"/>
    </row>
    <row r="27" spans="2:16" x14ac:dyDescent="0.25">
      <c r="O27"/>
      <c r="P27"/>
    </row>
    <row r="28" spans="2:16" x14ac:dyDescent="0.25">
      <c r="O28"/>
      <c r="P28"/>
    </row>
    <row r="29" spans="2:16" x14ac:dyDescent="0.25">
      <c r="O29"/>
      <c r="P29"/>
    </row>
    <row r="30" spans="2:16" x14ac:dyDescent="0.25">
      <c r="O30"/>
      <c r="P30"/>
    </row>
  </sheetData>
  <dataValidations count="2">
    <dataValidation type="list" showInputMessage="1" showErrorMessage="1" prompt="Select a Year" sqref="B3" xr:uid="{00000000-0002-0000-0100-000000000000}">
      <formula1>$O$2:$O$25</formula1>
    </dataValidation>
    <dataValidation type="list" showInputMessage="1" showErrorMessage="1" prompt="Enter a month" sqref="C3" xr:uid="{00000000-0002-0000-0100-000001000000}">
      <formula1>$P$2:$P$13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Extra_expenses">
          <controlPr defaultSize="0" autoLine="0" r:id="rId5">
            <anchor moveWithCells="1">
              <from>
                <xdr:col>4</xdr:col>
                <xdr:colOff>438150</xdr:colOff>
                <xdr:row>7</xdr:row>
                <xdr:rowOff>66675</xdr:rowOff>
              </from>
              <to>
                <xdr:col>6</xdr:col>
                <xdr:colOff>247650</xdr:colOff>
                <xdr:row>8</xdr:row>
                <xdr:rowOff>142875</xdr:rowOff>
              </to>
            </anchor>
          </controlPr>
        </control>
      </mc:Choice>
      <mc:Fallback>
        <control shapeId="1033" r:id="rId4" name="Extra_expenses"/>
      </mc:Fallback>
    </mc:AlternateContent>
    <mc:AlternateContent xmlns:mc="http://schemas.openxmlformats.org/markup-compatibility/2006">
      <mc:Choice Requires="x14">
        <control shapeId="1026" r:id="rId6" name="Enter1">
          <controlPr autoLine="0" autoPict="0" r:id="rId7">
            <anchor moveWithCells="1">
              <from>
                <xdr:col>3</xdr:col>
                <xdr:colOff>295275</xdr:colOff>
                <xdr:row>12</xdr:row>
                <xdr:rowOff>28575</xdr:rowOff>
              </from>
              <to>
                <xdr:col>5</xdr:col>
                <xdr:colOff>247650</xdr:colOff>
                <xdr:row>13</xdr:row>
                <xdr:rowOff>161925</xdr:rowOff>
              </to>
            </anchor>
          </controlPr>
        </control>
      </mc:Choice>
      <mc:Fallback>
        <control shapeId="1026" r:id="rId6" name="Enter1"/>
      </mc:Fallback>
    </mc:AlternateContent>
    <mc:AlternateContent xmlns:mc="http://schemas.openxmlformats.org/markup-compatibility/2006">
      <mc:Choice Requires="x14">
        <control shapeId="1031" r:id="rId8" name="reset">
          <controlPr defaultSize="0" autoLine="0" r:id="rId9">
            <anchor moveWithCells="1">
              <from>
                <xdr:col>7</xdr:col>
                <xdr:colOff>533400</xdr:colOff>
                <xdr:row>20</xdr:row>
                <xdr:rowOff>47625</xdr:rowOff>
              </from>
              <to>
                <xdr:col>8</xdr:col>
                <xdr:colOff>533400</xdr:colOff>
                <xdr:row>21</xdr:row>
                <xdr:rowOff>142875</xdr:rowOff>
              </to>
            </anchor>
          </controlPr>
        </control>
      </mc:Choice>
      <mc:Fallback>
        <control shapeId="1031" r:id="rId8" name="reset"/>
      </mc:Fallback>
    </mc:AlternateContent>
    <mc:AlternateContent xmlns:mc="http://schemas.openxmlformats.org/markup-compatibility/2006">
      <mc:Choice Requires="x14">
        <control shapeId="1032" r:id="rId10" name="Charts">
          <controlPr defaultSize="0" autoLine="0" autoPict="0" r:id="rId11">
            <anchor moveWithCells="1">
              <from>
                <xdr:col>6</xdr:col>
                <xdr:colOff>95250</xdr:colOff>
                <xdr:row>12</xdr:row>
                <xdr:rowOff>38100</xdr:rowOff>
              </from>
              <to>
                <xdr:col>7</xdr:col>
                <xdr:colOff>342900</xdr:colOff>
                <xdr:row>13</xdr:row>
                <xdr:rowOff>133350</xdr:rowOff>
              </to>
            </anchor>
          </controlPr>
        </control>
      </mc:Choice>
      <mc:Fallback>
        <control shapeId="1032" r:id="rId10" name="Chart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K57"/>
  <sheetViews>
    <sheetView zoomScale="85" zoomScaleNormal="85" workbookViewId="0"/>
  </sheetViews>
  <sheetFormatPr defaultRowHeight="15" x14ac:dyDescent="0.25"/>
  <cols>
    <col min="3" max="3" width="15.28515625" bestFit="1" customWidth="1"/>
    <col min="17" max="17" width="2.42578125" style="5" customWidth="1"/>
    <col min="20" max="20" width="15.28515625" bestFit="1" customWidth="1"/>
    <col min="34" max="34" width="2.28515625" style="4" customWidth="1"/>
    <col min="37" max="37" width="15.28515625" bestFit="1" customWidth="1"/>
    <col min="51" max="51" width="2.5703125" style="4" customWidth="1"/>
    <col min="54" max="54" width="15.28515625" bestFit="1" customWidth="1"/>
    <col min="68" max="68" width="2.42578125" style="4" customWidth="1"/>
    <col min="71" max="71" width="15.28515625" bestFit="1" customWidth="1"/>
    <col min="85" max="85" width="2.42578125" style="4" customWidth="1"/>
    <col min="88" max="88" width="15.28515625" bestFit="1" customWidth="1"/>
    <col min="102" max="102" width="2.42578125" style="4" customWidth="1"/>
    <col min="105" max="105" width="15.28515625" bestFit="1" customWidth="1"/>
    <col min="119" max="119" width="2.42578125" style="4" customWidth="1"/>
    <col min="122" max="122" width="15.28515625" bestFit="1" customWidth="1"/>
    <col min="136" max="136" width="2.42578125" style="4" customWidth="1"/>
    <col min="139" max="139" width="15.28515625" bestFit="1" customWidth="1"/>
    <col min="153" max="153" width="2.42578125" style="4" customWidth="1"/>
    <col min="156" max="156" width="15.28515625" bestFit="1" customWidth="1"/>
    <col min="170" max="170" width="2.42578125" style="4" customWidth="1"/>
    <col min="173" max="173" width="15.28515625" bestFit="1" customWidth="1"/>
    <col min="187" max="187" width="2.42578125" style="4" customWidth="1"/>
    <col min="190" max="190" width="15.28515625" bestFit="1" customWidth="1"/>
    <col min="204" max="204" width="2.42578125" style="4" customWidth="1"/>
    <col min="207" max="207" width="15.28515625" bestFit="1" customWidth="1"/>
    <col min="221" max="221" width="2.42578125" style="4" customWidth="1"/>
    <col min="224" max="224" width="15.28515625" bestFit="1" customWidth="1"/>
    <col min="238" max="238" width="2.28515625" style="22" customWidth="1"/>
    <col min="241" max="241" width="15.28515625" bestFit="1" customWidth="1"/>
    <col min="255" max="255" width="2.28515625" style="22" customWidth="1"/>
    <col min="258" max="258" width="15.28515625" bestFit="1" customWidth="1"/>
    <col min="272" max="272" width="2.28515625" style="22" customWidth="1"/>
    <col min="275" max="275" width="15.28515625" bestFit="1" customWidth="1"/>
    <col min="289" max="289" width="2.140625" style="22" customWidth="1"/>
    <col min="292" max="292" width="15.28515625" bestFit="1" customWidth="1"/>
    <col min="306" max="306" width="2.28515625" style="22" customWidth="1"/>
    <col min="309" max="309" width="15.28515625" bestFit="1" customWidth="1"/>
    <col min="323" max="323" width="2.28515625" style="22" customWidth="1"/>
  </cols>
  <sheetData>
    <row r="1" spans="1:321" x14ac:dyDescent="0.25">
      <c r="B1">
        <v>2016</v>
      </c>
      <c r="S1">
        <v>2017</v>
      </c>
      <c r="AJ1">
        <v>2018</v>
      </c>
      <c r="BA1">
        <v>2019</v>
      </c>
      <c r="BR1">
        <v>2020</v>
      </c>
      <c r="CI1">
        <v>2021</v>
      </c>
      <c r="CZ1">
        <v>2022</v>
      </c>
      <c r="DQ1">
        <v>2023</v>
      </c>
      <c r="EH1">
        <v>2024</v>
      </c>
      <c r="EY1">
        <v>2025</v>
      </c>
      <c r="FP1">
        <v>2026</v>
      </c>
      <c r="GG1">
        <v>2027</v>
      </c>
      <c r="GX1">
        <v>2028</v>
      </c>
      <c r="HO1">
        <v>2029</v>
      </c>
      <c r="IF1">
        <v>2011</v>
      </c>
      <c r="IW1">
        <v>2012</v>
      </c>
      <c r="JN1">
        <v>2013</v>
      </c>
      <c r="KE1">
        <v>2014</v>
      </c>
      <c r="KV1">
        <v>2015</v>
      </c>
    </row>
    <row r="3" spans="1:321" x14ac:dyDescent="0.25">
      <c r="D3">
        <f>IF(D4='Expense Sheet'!$C$3,1,0)</f>
        <v>0</v>
      </c>
      <c r="E3">
        <f>IF(E4='Expense Sheet'!$C$3,1,0)</f>
        <v>0</v>
      </c>
      <c r="F3">
        <f>IF(F4='Expense Sheet'!$C$3,1,0)</f>
        <v>0</v>
      </c>
      <c r="G3">
        <f>IF(G4='Expense Sheet'!$C$3,1,0)</f>
        <v>0</v>
      </c>
      <c r="H3">
        <f>IF(H4='Expense Sheet'!$C$3,1,0)</f>
        <v>0</v>
      </c>
      <c r="I3">
        <f>IF(I4='Expense Sheet'!$C$3,1,0)</f>
        <v>0</v>
      </c>
      <c r="J3">
        <f>IF(J4='Expense Sheet'!$C$3,1,0)</f>
        <v>0</v>
      </c>
      <c r="K3">
        <f>IF(K4='Expense Sheet'!$C$3,1,0)</f>
        <v>0</v>
      </c>
      <c r="L3">
        <f>IF(L4='Expense Sheet'!$C$3,1,0)</f>
        <v>0</v>
      </c>
      <c r="M3">
        <f>IF(M4='Expense Sheet'!$C$3,1,0)</f>
        <v>1</v>
      </c>
      <c r="N3">
        <f>IF(N4='Expense Sheet'!$C$3,1,0)</f>
        <v>0</v>
      </c>
      <c r="O3">
        <f>IF(O4='Expense Sheet'!$C$3,1,0)</f>
        <v>0</v>
      </c>
      <c r="U3">
        <f>IF(U4='Expense Sheet'!$C$3,1,0)</f>
        <v>0</v>
      </c>
      <c r="V3">
        <f>IF(V4='Expense Sheet'!$C$3,1,0)</f>
        <v>0</v>
      </c>
      <c r="W3">
        <f>IF(W4='Expense Sheet'!$C$3,1,0)</f>
        <v>0</v>
      </c>
      <c r="X3">
        <f>IF(X4='Expense Sheet'!$C$3,1,0)</f>
        <v>0</v>
      </c>
      <c r="Y3">
        <f>IF(Y4='Expense Sheet'!$C$3,1,0)</f>
        <v>0</v>
      </c>
      <c r="Z3">
        <f>IF(Z4='Expense Sheet'!$C$3,1,0)</f>
        <v>0</v>
      </c>
      <c r="AA3">
        <f>IF(AA4='Expense Sheet'!$C$3,1,0)</f>
        <v>0</v>
      </c>
      <c r="AB3">
        <f>IF(AB4='Expense Sheet'!$C$3,1,0)</f>
        <v>0</v>
      </c>
      <c r="AC3">
        <f>IF(AC4='Expense Sheet'!$C$3,1,0)</f>
        <v>0</v>
      </c>
      <c r="AD3">
        <f>IF(AD4='Expense Sheet'!$C$3,1,0)</f>
        <v>1</v>
      </c>
      <c r="AE3">
        <f>IF(AE4='Expense Sheet'!$C$3,1,0)</f>
        <v>0</v>
      </c>
      <c r="AF3">
        <f>IF(AF4='Expense Sheet'!$C$3,1,0)</f>
        <v>0</v>
      </c>
      <c r="AL3">
        <f>IF(AL4='Expense Sheet'!$C$3,1,0)</f>
        <v>0</v>
      </c>
      <c r="AM3">
        <f>IF(AM4='Expense Sheet'!$C$3,1,0)</f>
        <v>0</v>
      </c>
      <c r="AN3">
        <f>IF(AN4='Expense Sheet'!$C$3,1,0)</f>
        <v>0</v>
      </c>
      <c r="AO3">
        <f>IF(AO4='Expense Sheet'!$C$3,1,0)</f>
        <v>0</v>
      </c>
      <c r="AP3">
        <f>IF(AP4='Expense Sheet'!$C$3,1,0)</f>
        <v>0</v>
      </c>
      <c r="AQ3">
        <f>IF(AQ4='Expense Sheet'!$C$3,1,0)</f>
        <v>0</v>
      </c>
      <c r="AR3">
        <f>IF(AR4='Expense Sheet'!$C$3,1,0)</f>
        <v>0</v>
      </c>
      <c r="AS3">
        <f>IF(AS4='Expense Sheet'!$C$3,1,0)</f>
        <v>0</v>
      </c>
      <c r="AT3">
        <f>IF(AT4='Expense Sheet'!$C$3,1,0)</f>
        <v>0</v>
      </c>
      <c r="AU3">
        <f>IF(AU4='Expense Sheet'!$C$3,1,0)</f>
        <v>1</v>
      </c>
      <c r="AV3">
        <f>IF(AV4='Expense Sheet'!$C$3,1,0)</f>
        <v>0</v>
      </c>
      <c r="AW3">
        <f>IF(AW4='Expense Sheet'!$C$3,1,0)</f>
        <v>0</v>
      </c>
      <c r="BC3">
        <f>IF(BC4='Expense Sheet'!$C$3,1,0)</f>
        <v>0</v>
      </c>
      <c r="BD3">
        <f>IF(BD4='Expense Sheet'!$C$3,1,0)</f>
        <v>0</v>
      </c>
      <c r="BE3">
        <f>IF(BE4='Expense Sheet'!$C$3,1,0)</f>
        <v>0</v>
      </c>
      <c r="BF3">
        <f>IF(BF4='Expense Sheet'!$C$3,1,0)</f>
        <v>0</v>
      </c>
      <c r="BG3">
        <f>IF(BG4='Expense Sheet'!$C$3,1,0)</f>
        <v>0</v>
      </c>
      <c r="BH3">
        <f>IF(BH4='Expense Sheet'!$C$3,1,0)</f>
        <v>0</v>
      </c>
      <c r="BI3">
        <f>IF(BI4='Expense Sheet'!$C$3,1,0)</f>
        <v>0</v>
      </c>
      <c r="BJ3">
        <f>IF(BJ4='Expense Sheet'!$C$3,1,0)</f>
        <v>0</v>
      </c>
      <c r="BK3">
        <f>IF(BK4='Expense Sheet'!$C$3,1,0)</f>
        <v>0</v>
      </c>
      <c r="BL3">
        <f>IF(BL4='Expense Sheet'!$C$3,1,0)</f>
        <v>1</v>
      </c>
      <c r="BM3">
        <f>IF(BM4='Expense Sheet'!$C$3,1,0)</f>
        <v>0</v>
      </c>
      <c r="BN3">
        <f>IF(BN4='Expense Sheet'!$C$3,1,0)</f>
        <v>0</v>
      </c>
      <c r="BT3">
        <f>IF(BT4='Expense Sheet'!$C$3,1,0)</f>
        <v>0</v>
      </c>
      <c r="BU3">
        <f>IF(BU4='Expense Sheet'!$C$3,1,0)</f>
        <v>0</v>
      </c>
      <c r="BV3">
        <f>IF(BV4='Expense Sheet'!$C$3,1,0)</f>
        <v>0</v>
      </c>
      <c r="BW3">
        <f>IF(BW4='Expense Sheet'!$C$3,1,0)</f>
        <v>0</v>
      </c>
      <c r="BX3">
        <f>IF(BX4='Expense Sheet'!$C$3,1,0)</f>
        <v>0</v>
      </c>
      <c r="BY3">
        <f>IF(BY4='Expense Sheet'!$C$3,1,0)</f>
        <v>0</v>
      </c>
      <c r="BZ3">
        <f>IF(BZ4='Expense Sheet'!$C$3,1,0)</f>
        <v>0</v>
      </c>
      <c r="CA3">
        <f>IF(CA4='Expense Sheet'!$C$3,1,0)</f>
        <v>0</v>
      </c>
      <c r="CB3">
        <f>IF(CB4='Expense Sheet'!$C$3,1,0)</f>
        <v>0</v>
      </c>
      <c r="CC3">
        <f>IF(CC4='Expense Sheet'!$C$3,1,0)</f>
        <v>1</v>
      </c>
      <c r="CD3">
        <f>IF(CD4='Expense Sheet'!$C$3,1,0)</f>
        <v>0</v>
      </c>
      <c r="CE3">
        <f>IF(CE4='Expense Sheet'!$C$3,1,0)</f>
        <v>0</v>
      </c>
      <c r="CK3">
        <f>IF(CK4='Expense Sheet'!$C$3,1,0)</f>
        <v>0</v>
      </c>
      <c r="CL3">
        <f>IF(CL4='Expense Sheet'!$C$3,1,0)</f>
        <v>0</v>
      </c>
      <c r="CM3">
        <f>IF(CM4='Expense Sheet'!$C$3,1,0)</f>
        <v>0</v>
      </c>
      <c r="CN3">
        <f>IF(CN4='Expense Sheet'!$C$3,1,0)</f>
        <v>0</v>
      </c>
      <c r="CO3">
        <f>IF(CO4='Expense Sheet'!$C$3,1,0)</f>
        <v>0</v>
      </c>
      <c r="CP3">
        <f>IF(CP4='Expense Sheet'!$C$3,1,0)</f>
        <v>0</v>
      </c>
      <c r="CQ3">
        <f>IF(CQ4='Expense Sheet'!$C$3,1,0)</f>
        <v>0</v>
      </c>
      <c r="CR3">
        <f>IF(CR4='Expense Sheet'!$C$3,1,0)</f>
        <v>0</v>
      </c>
      <c r="CS3">
        <f>IF(CS4='Expense Sheet'!$C$3,1,0)</f>
        <v>0</v>
      </c>
      <c r="CT3">
        <f>IF(CT4='Expense Sheet'!$C$3,1,0)</f>
        <v>1</v>
      </c>
      <c r="CU3">
        <f>IF(CU4='Expense Sheet'!$C$3,1,0)</f>
        <v>0</v>
      </c>
      <c r="CV3">
        <f>IF(CV4='Expense Sheet'!$C$3,1,0)</f>
        <v>0</v>
      </c>
      <c r="DB3">
        <f>IF(DB4='Expense Sheet'!$C$3,1,0)</f>
        <v>0</v>
      </c>
      <c r="DC3">
        <f>IF(DC4='Expense Sheet'!$C$3,1,0)</f>
        <v>0</v>
      </c>
      <c r="DD3">
        <f>IF(DD4='Expense Sheet'!$C$3,1,0)</f>
        <v>0</v>
      </c>
      <c r="DE3">
        <f>IF(DE4='Expense Sheet'!$C$3,1,0)</f>
        <v>0</v>
      </c>
      <c r="DF3">
        <f>IF(DF4='Expense Sheet'!$C$3,1,0)</f>
        <v>0</v>
      </c>
      <c r="DG3">
        <f>IF(DG4='Expense Sheet'!$C$3,1,0)</f>
        <v>0</v>
      </c>
      <c r="DH3">
        <f>IF(DH4='Expense Sheet'!$C$3,1,0)</f>
        <v>0</v>
      </c>
      <c r="DI3">
        <f>IF(DI4='Expense Sheet'!$C$3,1,0)</f>
        <v>0</v>
      </c>
      <c r="DJ3">
        <f>IF(DJ4='Expense Sheet'!$C$3,1,0)</f>
        <v>0</v>
      </c>
      <c r="DK3">
        <f>IF(DK4='Expense Sheet'!$C$3,1,0)</f>
        <v>1</v>
      </c>
      <c r="DL3">
        <f>IF(DL4='Expense Sheet'!$C$3,1,0)</f>
        <v>0</v>
      </c>
      <c r="DM3">
        <f>IF(DM4='Expense Sheet'!$C$3,1,0)</f>
        <v>0</v>
      </c>
      <c r="DS3">
        <f>IF(DS4='Expense Sheet'!$C$3,1,0)</f>
        <v>0</v>
      </c>
      <c r="DT3">
        <f>IF(DT4='Expense Sheet'!$C$3,1,0)</f>
        <v>0</v>
      </c>
      <c r="DU3">
        <f>IF(DU4='Expense Sheet'!$C$3,1,0)</f>
        <v>0</v>
      </c>
      <c r="DV3">
        <f>IF(DV4='Expense Sheet'!$C$3,1,0)</f>
        <v>0</v>
      </c>
      <c r="DW3">
        <f>IF(DW4='Expense Sheet'!$C$3,1,0)</f>
        <v>0</v>
      </c>
      <c r="DX3">
        <f>IF(DX4='Expense Sheet'!$C$3,1,0)</f>
        <v>0</v>
      </c>
      <c r="DY3">
        <f>IF(DY4='Expense Sheet'!$C$3,1,0)</f>
        <v>0</v>
      </c>
      <c r="DZ3">
        <f>IF(DZ4='Expense Sheet'!$C$3,1,0)</f>
        <v>0</v>
      </c>
      <c r="EA3">
        <f>IF(EA4='Expense Sheet'!$C$3,1,0)</f>
        <v>0</v>
      </c>
      <c r="EB3">
        <f>IF(EB4='Expense Sheet'!$C$3,1,0)</f>
        <v>1</v>
      </c>
      <c r="EC3">
        <f>IF(EC4='Expense Sheet'!$C$3,1,0)</f>
        <v>0</v>
      </c>
      <c r="ED3">
        <f>IF(ED4='Expense Sheet'!$C$3,1,0)</f>
        <v>0</v>
      </c>
      <c r="EJ3">
        <f>IF(EJ4='Expense Sheet'!$C$3,1,0)</f>
        <v>0</v>
      </c>
      <c r="EK3">
        <f>IF(EK4='Expense Sheet'!$C$3,1,0)</f>
        <v>0</v>
      </c>
      <c r="EL3">
        <f>IF(EL4='Expense Sheet'!$C$3,1,0)</f>
        <v>0</v>
      </c>
      <c r="EM3">
        <f>IF(EM4='Expense Sheet'!$C$3,1,0)</f>
        <v>0</v>
      </c>
      <c r="EN3">
        <f>IF(EN4='Expense Sheet'!$C$3,1,0)</f>
        <v>0</v>
      </c>
      <c r="EO3">
        <f>IF(EO4='Expense Sheet'!$C$3,1,0)</f>
        <v>0</v>
      </c>
      <c r="EP3">
        <f>IF(EP4='Expense Sheet'!$C$3,1,0)</f>
        <v>0</v>
      </c>
      <c r="EQ3">
        <f>IF(EQ4='Expense Sheet'!$C$3,1,0)</f>
        <v>0</v>
      </c>
      <c r="ER3">
        <f>IF(ER4='Expense Sheet'!$C$3,1,0)</f>
        <v>0</v>
      </c>
      <c r="ES3">
        <f>IF(ES4='Expense Sheet'!$C$3,1,0)</f>
        <v>1</v>
      </c>
      <c r="ET3">
        <f>IF(ET4='Expense Sheet'!$C$3,1,0)</f>
        <v>0</v>
      </c>
      <c r="EU3">
        <f>IF(EU4='Expense Sheet'!$C$3,1,0)</f>
        <v>0</v>
      </c>
      <c r="FA3">
        <f>IF(FA4='Expense Sheet'!$C$3,1,0)</f>
        <v>0</v>
      </c>
      <c r="FB3">
        <f>IF(FB4='Expense Sheet'!$C$3,1,0)</f>
        <v>0</v>
      </c>
      <c r="FC3">
        <f>IF(FC4='Expense Sheet'!$C$3,1,0)</f>
        <v>0</v>
      </c>
      <c r="FD3">
        <f>IF(FD4='Expense Sheet'!$C$3,1,0)</f>
        <v>0</v>
      </c>
      <c r="FE3">
        <f>IF(FE4='Expense Sheet'!$C$3,1,0)</f>
        <v>0</v>
      </c>
      <c r="FF3">
        <f>IF(FF4='Expense Sheet'!$C$3,1,0)</f>
        <v>0</v>
      </c>
      <c r="FG3">
        <f>IF(FG4='Expense Sheet'!$C$3,1,0)</f>
        <v>0</v>
      </c>
      <c r="FH3">
        <f>IF(FH4='Expense Sheet'!$C$3,1,0)</f>
        <v>0</v>
      </c>
      <c r="FI3">
        <f>IF(FI4='Expense Sheet'!$C$3,1,0)</f>
        <v>0</v>
      </c>
      <c r="FJ3">
        <f>IF(FJ4='Expense Sheet'!$C$3,1,0)</f>
        <v>1</v>
      </c>
      <c r="FK3">
        <f>IF(FK4='Expense Sheet'!$C$3,1,0)</f>
        <v>0</v>
      </c>
      <c r="FL3">
        <f>IF(FL4='Expense Sheet'!$C$3,1,0)</f>
        <v>0</v>
      </c>
      <c r="FR3">
        <f>IF(FR4='Expense Sheet'!$C$3,1,0)</f>
        <v>0</v>
      </c>
      <c r="FS3">
        <f>IF(FS4='Expense Sheet'!$C$3,1,0)</f>
        <v>0</v>
      </c>
      <c r="FT3">
        <f>IF(FT4='Expense Sheet'!$C$3,1,0)</f>
        <v>0</v>
      </c>
      <c r="FU3">
        <f>IF(FU4='Expense Sheet'!$C$3,1,0)</f>
        <v>0</v>
      </c>
      <c r="FV3">
        <f>IF(FV4='Expense Sheet'!$C$3,1,0)</f>
        <v>0</v>
      </c>
      <c r="FW3">
        <f>IF(FW4='Expense Sheet'!$C$3,1,0)</f>
        <v>0</v>
      </c>
      <c r="FX3">
        <f>IF(FX4='Expense Sheet'!$C$3,1,0)</f>
        <v>0</v>
      </c>
      <c r="FY3">
        <f>IF(FY4='Expense Sheet'!$C$3,1,0)</f>
        <v>0</v>
      </c>
      <c r="FZ3">
        <f>IF(FZ4='Expense Sheet'!$C$3,1,0)</f>
        <v>0</v>
      </c>
      <c r="GA3">
        <f>IF(GA4='Expense Sheet'!$C$3,1,0)</f>
        <v>1</v>
      </c>
      <c r="GB3">
        <f>IF(GB4='Expense Sheet'!$C$3,1,0)</f>
        <v>0</v>
      </c>
      <c r="GC3">
        <f>IF(GC4='Expense Sheet'!$C$3,1,0)</f>
        <v>0</v>
      </c>
      <c r="GI3">
        <f>IF(GI4='Expense Sheet'!$C$3,1,0)</f>
        <v>0</v>
      </c>
      <c r="GJ3">
        <f>IF(GJ4='Expense Sheet'!$C$3,1,0)</f>
        <v>0</v>
      </c>
      <c r="GK3">
        <f>IF(GK4='Expense Sheet'!$C$3,1,0)</f>
        <v>0</v>
      </c>
      <c r="GL3">
        <f>IF(GL4='Expense Sheet'!$C$3,1,0)</f>
        <v>0</v>
      </c>
      <c r="GM3">
        <f>IF(GM4='Expense Sheet'!$C$3,1,0)</f>
        <v>0</v>
      </c>
      <c r="GN3">
        <f>IF(GN4='Expense Sheet'!$C$3,1,0)</f>
        <v>0</v>
      </c>
      <c r="GO3">
        <f>IF(GO4='Expense Sheet'!$C$3,1,0)</f>
        <v>0</v>
      </c>
      <c r="GP3">
        <f>IF(GP4='Expense Sheet'!$C$3,1,0)</f>
        <v>0</v>
      </c>
      <c r="GQ3">
        <f>IF(GQ4='Expense Sheet'!$C$3,1,0)</f>
        <v>0</v>
      </c>
      <c r="GR3">
        <f>IF(GR4='Expense Sheet'!$C$3,1,0)</f>
        <v>1</v>
      </c>
      <c r="GS3">
        <f>IF(GS4='Expense Sheet'!$C$3,1,0)</f>
        <v>0</v>
      </c>
      <c r="GT3">
        <f>IF(GT4='Expense Sheet'!$C$3,1,0)</f>
        <v>0</v>
      </c>
      <c r="GZ3">
        <f>IF(GZ4='Expense Sheet'!$C$3,1,0)</f>
        <v>0</v>
      </c>
      <c r="HA3">
        <f>IF(HA4='Expense Sheet'!$C$3,1,0)</f>
        <v>0</v>
      </c>
      <c r="HB3">
        <f>IF(HB4='Expense Sheet'!$C$3,1,0)</f>
        <v>0</v>
      </c>
      <c r="HC3">
        <f>IF(HC4='Expense Sheet'!$C$3,1,0)</f>
        <v>0</v>
      </c>
      <c r="HD3">
        <f>IF(HD4='Expense Sheet'!$C$3,1,0)</f>
        <v>0</v>
      </c>
      <c r="HE3">
        <f>IF(HE4='Expense Sheet'!$C$3,1,0)</f>
        <v>0</v>
      </c>
      <c r="HF3">
        <f>IF(HF4='Expense Sheet'!$C$3,1,0)</f>
        <v>0</v>
      </c>
      <c r="HG3">
        <f>IF(HG4='Expense Sheet'!$C$3,1,0)</f>
        <v>0</v>
      </c>
      <c r="HH3">
        <f>IF(HH4='Expense Sheet'!$C$3,1,0)</f>
        <v>0</v>
      </c>
      <c r="HI3">
        <f>IF(HI4='Expense Sheet'!$C$3,1,0)</f>
        <v>1</v>
      </c>
      <c r="HJ3">
        <f>IF(HJ4='Expense Sheet'!$C$3,1,0)</f>
        <v>0</v>
      </c>
      <c r="HK3">
        <f>IF(HK4='Expense Sheet'!$C$3,1,0)</f>
        <v>0</v>
      </c>
      <c r="HQ3">
        <f>IF(HQ4='Expense Sheet'!$C$3,1,0)</f>
        <v>0</v>
      </c>
      <c r="HR3">
        <f>IF(HR4='Expense Sheet'!$C$3,1,0)</f>
        <v>0</v>
      </c>
      <c r="HS3">
        <f>IF(HS4='Expense Sheet'!$C$3,1,0)</f>
        <v>0</v>
      </c>
      <c r="HT3">
        <f>IF(HT4='Expense Sheet'!$C$3,1,0)</f>
        <v>0</v>
      </c>
      <c r="HU3">
        <f>IF(HU4='Expense Sheet'!$C$3,1,0)</f>
        <v>0</v>
      </c>
      <c r="HV3">
        <f>IF(HV4='Expense Sheet'!$C$3,1,0)</f>
        <v>0</v>
      </c>
      <c r="HW3">
        <f>IF(HW4='Expense Sheet'!$C$3,1,0)</f>
        <v>0</v>
      </c>
      <c r="HX3">
        <f>IF(HX4='Expense Sheet'!$C$3,1,0)</f>
        <v>0</v>
      </c>
      <c r="HY3">
        <f>IF(HY4='Expense Sheet'!$C$3,1,0)</f>
        <v>0</v>
      </c>
      <c r="HZ3">
        <f>IF(HZ4='Expense Sheet'!$C$3,1,0)</f>
        <v>1</v>
      </c>
      <c r="IA3">
        <f>IF(IA4='Expense Sheet'!$C$3,1,0)</f>
        <v>0</v>
      </c>
      <c r="IB3">
        <f>IF(IB4='Expense Sheet'!$C$3,1,0)</f>
        <v>0</v>
      </c>
      <c r="IH3">
        <f>IF(IH4='Expense Sheet'!$C$3,1,0)</f>
        <v>0</v>
      </c>
      <c r="II3">
        <f>IF(II4='Expense Sheet'!$C$3,1,0)</f>
        <v>0</v>
      </c>
      <c r="IJ3">
        <f>IF(IJ4='Expense Sheet'!$C$3,1,0)</f>
        <v>0</v>
      </c>
      <c r="IK3">
        <f>IF(IK4='Expense Sheet'!$C$3,1,0)</f>
        <v>0</v>
      </c>
      <c r="IL3">
        <f>IF(IL4='Expense Sheet'!$C$3,1,0)</f>
        <v>0</v>
      </c>
      <c r="IM3">
        <f>IF(IM4='Expense Sheet'!$C$3,1,0)</f>
        <v>0</v>
      </c>
      <c r="IN3">
        <f>IF(IN4='Expense Sheet'!$C$3,1,0)</f>
        <v>0</v>
      </c>
      <c r="IO3">
        <f>IF(IO4='Expense Sheet'!$C$3,1,0)</f>
        <v>0</v>
      </c>
      <c r="IP3">
        <f>IF(IP4='Expense Sheet'!$C$3,1,0)</f>
        <v>0</v>
      </c>
      <c r="IQ3">
        <f>IF(IQ4='Expense Sheet'!$C$3,1,0)</f>
        <v>1</v>
      </c>
      <c r="IR3">
        <f>IF(IR4='Expense Sheet'!$C$3,1,0)</f>
        <v>0</v>
      </c>
      <c r="IS3">
        <f>IF(IS4='Expense Sheet'!$C$3,1,0)</f>
        <v>0</v>
      </c>
      <c r="IY3">
        <f>IF(IY4='Expense Sheet'!$C$3,1,0)</f>
        <v>0</v>
      </c>
      <c r="IZ3">
        <f>IF(IZ4='Expense Sheet'!$C$3,1,0)</f>
        <v>0</v>
      </c>
      <c r="JA3">
        <f>IF(JA4='Expense Sheet'!$C$3,1,0)</f>
        <v>0</v>
      </c>
      <c r="JB3">
        <f>IF(JB4='Expense Sheet'!$C$3,1,0)</f>
        <v>0</v>
      </c>
      <c r="JC3">
        <f>IF(JC4='Expense Sheet'!$C$3,1,0)</f>
        <v>0</v>
      </c>
      <c r="JD3">
        <f>IF(JD4='Expense Sheet'!$C$3,1,0)</f>
        <v>0</v>
      </c>
      <c r="JE3">
        <f>IF(JE4='Expense Sheet'!$C$3,1,0)</f>
        <v>0</v>
      </c>
      <c r="JF3">
        <f>IF(JF4='Expense Sheet'!$C$3,1,0)</f>
        <v>0</v>
      </c>
      <c r="JG3">
        <f>IF(JG4='Expense Sheet'!$C$3,1,0)</f>
        <v>0</v>
      </c>
      <c r="JH3">
        <f>IF(JH4='Expense Sheet'!$C$3,1,0)</f>
        <v>1</v>
      </c>
      <c r="JI3">
        <f>IF(JI4='Expense Sheet'!$C$3,1,0)</f>
        <v>0</v>
      </c>
      <c r="JJ3">
        <f>IF(JJ4='Expense Sheet'!$C$3,1,0)</f>
        <v>0</v>
      </c>
      <c r="JP3">
        <f>IF(JP4='Expense Sheet'!$C$3,1,0)</f>
        <v>0</v>
      </c>
      <c r="JQ3">
        <f>IF(JQ4='Expense Sheet'!$C$3,1,0)</f>
        <v>0</v>
      </c>
      <c r="JR3">
        <f>IF(JR4='Expense Sheet'!$C$3,1,0)</f>
        <v>0</v>
      </c>
      <c r="JS3">
        <f>IF(JS4='Expense Sheet'!$C$3,1,0)</f>
        <v>0</v>
      </c>
      <c r="JT3">
        <f>IF(JT4='Expense Sheet'!$C$3,1,0)</f>
        <v>0</v>
      </c>
      <c r="JU3">
        <f>IF(JU4='Expense Sheet'!$C$3,1,0)</f>
        <v>0</v>
      </c>
      <c r="JV3">
        <f>IF(JV4='Expense Sheet'!$C$3,1,0)</f>
        <v>0</v>
      </c>
      <c r="JW3">
        <f>IF(JW4='Expense Sheet'!$C$3,1,0)</f>
        <v>0</v>
      </c>
      <c r="JX3">
        <f>IF(JX4='Expense Sheet'!$C$3,1,0)</f>
        <v>0</v>
      </c>
      <c r="JY3">
        <f>IF(JY4='Expense Sheet'!$C$3,1,0)</f>
        <v>1</v>
      </c>
      <c r="JZ3">
        <f>IF(JZ4='Expense Sheet'!$C$3,1,0)</f>
        <v>0</v>
      </c>
      <c r="KA3">
        <f>IF(KA4='Expense Sheet'!$C$3,1,0)</f>
        <v>0</v>
      </c>
      <c r="KG3">
        <f>IF(KG4='Expense Sheet'!$C$3,1,0)</f>
        <v>0</v>
      </c>
      <c r="KH3">
        <f>IF(KH4='Expense Sheet'!$C$3,1,0)</f>
        <v>0</v>
      </c>
      <c r="KI3">
        <f>IF(KI4='Expense Sheet'!$C$3,1,0)</f>
        <v>0</v>
      </c>
      <c r="KJ3">
        <f>IF(KJ4='Expense Sheet'!$C$3,1,0)</f>
        <v>0</v>
      </c>
      <c r="KK3">
        <f>IF(KK4='Expense Sheet'!$C$3,1,0)</f>
        <v>0</v>
      </c>
      <c r="KL3">
        <f>IF(KL4='Expense Sheet'!$C$3,1,0)</f>
        <v>0</v>
      </c>
      <c r="KM3">
        <f>IF(KM4='Expense Sheet'!$C$3,1,0)</f>
        <v>0</v>
      </c>
      <c r="KN3">
        <f>IF(KN4='Expense Sheet'!$C$3,1,0)</f>
        <v>0</v>
      </c>
      <c r="KO3">
        <f>IF(KO4='Expense Sheet'!$C$3,1,0)</f>
        <v>0</v>
      </c>
      <c r="KP3">
        <f>IF(KP4='Expense Sheet'!$C$3,1,0)</f>
        <v>1</v>
      </c>
      <c r="KQ3">
        <f>IF(KQ4='Expense Sheet'!$C$3,1,0)</f>
        <v>0</v>
      </c>
      <c r="KR3">
        <f>IF(KR4='Expense Sheet'!$C$3,1,0)</f>
        <v>0</v>
      </c>
      <c r="KX3">
        <f>IF(KX4='Expense Sheet'!$C$3,1,0)</f>
        <v>0</v>
      </c>
      <c r="KY3">
        <f>IF(KY4='Expense Sheet'!$C$3,1,0)</f>
        <v>0</v>
      </c>
      <c r="KZ3">
        <f>IF(KZ4='Expense Sheet'!$C$3,1,0)</f>
        <v>0</v>
      </c>
      <c r="LA3">
        <f>IF(LA4='Expense Sheet'!$C$3,1,0)</f>
        <v>0</v>
      </c>
      <c r="LB3">
        <f>IF(LB4='Expense Sheet'!$C$3,1,0)</f>
        <v>0</v>
      </c>
      <c r="LC3">
        <f>IF(LC4='Expense Sheet'!$C$3,1,0)</f>
        <v>0</v>
      </c>
      <c r="LD3">
        <f>IF(LD4='Expense Sheet'!$C$3,1,0)</f>
        <v>0</v>
      </c>
      <c r="LE3">
        <f>IF(LE4='Expense Sheet'!$C$3,1,0)</f>
        <v>0</v>
      </c>
      <c r="LF3">
        <f>IF(LF4='Expense Sheet'!$C$3,1,0)</f>
        <v>0</v>
      </c>
      <c r="LG3">
        <f>IF(LG4='Expense Sheet'!$C$3,1,0)</f>
        <v>1</v>
      </c>
      <c r="LH3">
        <f>IF(LH4='Expense Sheet'!$C$3,1,0)</f>
        <v>0</v>
      </c>
      <c r="LI3">
        <f>IF(LI4='Expense Sheet'!$C$3,1,0)</f>
        <v>0</v>
      </c>
    </row>
    <row r="4" spans="1:321" x14ac:dyDescent="0.25">
      <c r="B4" t="s">
        <v>1</v>
      </c>
      <c r="C4" t="s">
        <v>31</v>
      </c>
      <c r="D4" t="s">
        <v>19</v>
      </c>
      <c r="E4" t="s">
        <v>20</v>
      </c>
      <c r="F4" t="s">
        <v>21</v>
      </c>
      <c r="G4" t="s">
        <v>22</v>
      </c>
      <c r="H4" t="s">
        <v>23</v>
      </c>
      <c r="I4" t="s">
        <v>24</v>
      </c>
      <c r="J4" t="s">
        <v>32</v>
      </c>
      <c r="K4" t="s">
        <v>26</v>
      </c>
      <c r="L4" t="s">
        <v>27</v>
      </c>
      <c r="M4" t="s">
        <v>28</v>
      </c>
      <c r="N4" t="s">
        <v>29</v>
      </c>
      <c r="O4" t="s">
        <v>30</v>
      </c>
      <c r="S4" t="s">
        <v>1</v>
      </c>
      <c r="T4" t="s">
        <v>31</v>
      </c>
      <c r="U4" t="s">
        <v>19</v>
      </c>
      <c r="V4" t="s">
        <v>20</v>
      </c>
      <c r="W4" t="s">
        <v>21</v>
      </c>
      <c r="X4" t="s">
        <v>22</v>
      </c>
      <c r="Y4" t="s">
        <v>23</v>
      </c>
      <c r="Z4" t="s">
        <v>24</v>
      </c>
      <c r="AA4" t="s">
        <v>32</v>
      </c>
      <c r="AB4" t="s">
        <v>26</v>
      </c>
      <c r="AC4" t="s">
        <v>27</v>
      </c>
      <c r="AD4" t="s">
        <v>28</v>
      </c>
      <c r="AE4" t="s">
        <v>29</v>
      </c>
      <c r="AF4" t="s">
        <v>30</v>
      </c>
      <c r="AJ4" t="s">
        <v>1</v>
      </c>
      <c r="AK4" t="s">
        <v>31</v>
      </c>
      <c r="AL4" t="s">
        <v>19</v>
      </c>
      <c r="AM4" t="s">
        <v>20</v>
      </c>
      <c r="AN4" t="s">
        <v>21</v>
      </c>
      <c r="AO4" t="s">
        <v>22</v>
      </c>
      <c r="AP4" t="s">
        <v>23</v>
      </c>
      <c r="AQ4" t="s">
        <v>24</v>
      </c>
      <c r="AR4" t="s">
        <v>32</v>
      </c>
      <c r="AS4" t="s">
        <v>26</v>
      </c>
      <c r="AT4" t="s">
        <v>27</v>
      </c>
      <c r="AU4" t="s">
        <v>28</v>
      </c>
      <c r="AV4" t="s">
        <v>29</v>
      </c>
      <c r="AW4" t="s">
        <v>30</v>
      </c>
      <c r="BA4" t="s">
        <v>1</v>
      </c>
      <c r="BB4" t="s">
        <v>31</v>
      </c>
      <c r="BC4" t="s">
        <v>19</v>
      </c>
      <c r="BD4" t="s">
        <v>20</v>
      </c>
      <c r="BE4" t="s">
        <v>21</v>
      </c>
      <c r="BF4" t="s">
        <v>22</v>
      </c>
      <c r="BG4" t="s">
        <v>23</v>
      </c>
      <c r="BH4" t="s">
        <v>24</v>
      </c>
      <c r="BI4" t="s">
        <v>32</v>
      </c>
      <c r="BJ4" t="s">
        <v>26</v>
      </c>
      <c r="BK4" t="s">
        <v>27</v>
      </c>
      <c r="BL4" t="s">
        <v>28</v>
      </c>
      <c r="BM4" t="s">
        <v>29</v>
      </c>
      <c r="BN4" t="s">
        <v>30</v>
      </c>
      <c r="BR4" t="s">
        <v>1</v>
      </c>
      <c r="BS4" t="s">
        <v>31</v>
      </c>
      <c r="BT4" t="s">
        <v>19</v>
      </c>
      <c r="BU4" t="s">
        <v>20</v>
      </c>
      <c r="BV4" t="s">
        <v>21</v>
      </c>
      <c r="BW4" t="s">
        <v>22</v>
      </c>
      <c r="BX4" t="s">
        <v>23</v>
      </c>
      <c r="BY4" t="s">
        <v>24</v>
      </c>
      <c r="BZ4" t="s">
        <v>32</v>
      </c>
      <c r="CA4" t="s">
        <v>26</v>
      </c>
      <c r="CB4" t="s">
        <v>27</v>
      </c>
      <c r="CC4" t="s">
        <v>28</v>
      </c>
      <c r="CD4" t="s">
        <v>29</v>
      </c>
      <c r="CE4" t="s">
        <v>30</v>
      </c>
      <c r="CI4" t="s">
        <v>1</v>
      </c>
      <c r="CJ4" t="s">
        <v>31</v>
      </c>
      <c r="CK4" t="s">
        <v>19</v>
      </c>
      <c r="CL4" t="s">
        <v>20</v>
      </c>
      <c r="CM4" t="s">
        <v>21</v>
      </c>
      <c r="CN4" t="s">
        <v>22</v>
      </c>
      <c r="CO4" t="s">
        <v>23</v>
      </c>
      <c r="CP4" t="s">
        <v>24</v>
      </c>
      <c r="CQ4" t="s">
        <v>32</v>
      </c>
      <c r="CR4" t="s">
        <v>26</v>
      </c>
      <c r="CS4" t="s">
        <v>27</v>
      </c>
      <c r="CT4" t="s">
        <v>28</v>
      </c>
      <c r="CU4" t="s">
        <v>29</v>
      </c>
      <c r="CV4" t="s">
        <v>30</v>
      </c>
      <c r="CZ4" t="s">
        <v>1</v>
      </c>
      <c r="DA4" t="s">
        <v>31</v>
      </c>
      <c r="DB4" t="s">
        <v>19</v>
      </c>
      <c r="DC4" t="s">
        <v>20</v>
      </c>
      <c r="DD4" t="s">
        <v>21</v>
      </c>
      <c r="DE4" t="s">
        <v>22</v>
      </c>
      <c r="DF4" t="s">
        <v>23</v>
      </c>
      <c r="DG4" t="s">
        <v>24</v>
      </c>
      <c r="DH4" t="s">
        <v>32</v>
      </c>
      <c r="DI4" t="s">
        <v>26</v>
      </c>
      <c r="DJ4" t="s">
        <v>27</v>
      </c>
      <c r="DK4" t="s">
        <v>28</v>
      </c>
      <c r="DL4" t="s">
        <v>29</v>
      </c>
      <c r="DM4" t="s">
        <v>30</v>
      </c>
      <c r="DQ4" t="s">
        <v>1</v>
      </c>
      <c r="DR4" t="s">
        <v>31</v>
      </c>
      <c r="DS4" t="s">
        <v>19</v>
      </c>
      <c r="DT4" t="s">
        <v>20</v>
      </c>
      <c r="DU4" t="s">
        <v>21</v>
      </c>
      <c r="DV4" t="s">
        <v>22</v>
      </c>
      <c r="DW4" t="s">
        <v>23</v>
      </c>
      <c r="DX4" t="s">
        <v>24</v>
      </c>
      <c r="DY4" t="s">
        <v>32</v>
      </c>
      <c r="DZ4" t="s">
        <v>26</v>
      </c>
      <c r="EA4" t="s">
        <v>27</v>
      </c>
      <c r="EB4" t="s">
        <v>28</v>
      </c>
      <c r="EC4" t="s">
        <v>29</v>
      </c>
      <c r="ED4" t="s">
        <v>30</v>
      </c>
      <c r="EH4" t="s">
        <v>1</v>
      </c>
      <c r="EI4" t="s">
        <v>31</v>
      </c>
      <c r="EJ4" t="s">
        <v>19</v>
      </c>
      <c r="EK4" t="s">
        <v>20</v>
      </c>
      <c r="EL4" t="s">
        <v>21</v>
      </c>
      <c r="EM4" t="s">
        <v>22</v>
      </c>
      <c r="EN4" t="s">
        <v>23</v>
      </c>
      <c r="EO4" t="s">
        <v>24</v>
      </c>
      <c r="EP4" t="s">
        <v>32</v>
      </c>
      <c r="EQ4" t="s">
        <v>26</v>
      </c>
      <c r="ER4" t="s">
        <v>27</v>
      </c>
      <c r="ES4" t="s">
        <v>28</v>
      </c>
      <c r="ET4" t="s">
        <v>29</v>
      </c>
      <c r="EU4" t="s">
        <v>30</v>
      </c>
      <c r="EY4" t="s">
        <v>1</v>
      </c>
      <c r="EZ4" t="s">
        <v>31</v>
      </c>
      <c r="FA4" t="s">
        <v>19</v>
      </c>
      <c r="FB4" t="s">
        <v>20</v>
      </c>
      <c r="FC4" t="s">
        <v>21</v>
      </c>
      <c r="FD4" t="s">
        <v>22</v>
      </c>
      <c r="FE4" t="s">
        <v>23</v>
      </c>
      <c r="FF4" t="s">
        <v>24</v>
      </c>
      <c r="FG4" t="s">
        <v>32</v>
      </c>
      <c r="FH4" t="s">
        <v>26</v>
      </c>
      <c r="FI4" t="s">
        <v>27</v>
      </c>
      <c r="FJ4" t="s">
        <v>28</v>
      </c>
      <c r="FK4" t="s">
        <v>29</v>
      </c>
      <c r="FL4" t="s">
        <v>30</v>
      </c>
      <c r="FP4" t="s">
        <v>1</v>
      </c>
      <c r="FQ4" t="s">
        <v>31</v>
      </c>
      <c r="FR4" t="s">
        <v>19</v>
      </c>
      <c r="FS4" t="s">
        <v>20</v>
      </c>
      <c r="FT4" t="s">
        <v>21</v>
      </c>
      <c r="FU4" t="s">
        <v>22</v>
      </c>
      <c r="FV4" t="s">
        <v>23</v>
      </c>
      <c r="FW4" t="s">
        <v>24</v>
      </c>
      <c r="FX4" t="s">
        <v>32</v>
      </c>
      <c r="FY4" t="s">
        <v>26</v>
      </c>
      <c r="FZ4" t="s">
        <v>27</v>
      </c>
      <c r="GA4" t="s">
        <v>28</v>
      </c>
      <c r="GB4" t="s">
        <v>29</v>
      </c>
      <c r="GC4" t="s">
        <v>30</v>
      </c>
      <c r="GG4" t="s">
        <v>1</v>
      </c>
      <c r="GH4" t="s">
        <v>31</v>
      </c>
      <c r="GI4" t="s">
        <v>19</v>
      </c>
      <c r="GJ4" t="s">
        <v>20</v>
      </c>
      <c r="GK4" t="s">
        <v>21</v>
      </c>
      <c r="GL4" t="s">
        <v>22</v>
      </c>
      <c r="GM4" t="s">
        <v>23</v>
      </c>
      <c r="GN4" t="s">
        <v>24</v>
      </c>
      <c r="GO4" t="s">
        <v>32</v>
      </c>
      <c r="GP4" t="s">
        <v>26</v>
      </c>
      <c r="GQ4" t="s">
        <v>27</v>
      </c>
      <c r="GR4" t="s">
        <v>28</v>
      </c>
      <c r="GS4" t="s">
        <v>29</v>
      </c>
      <c r="GT4" t="s">
        <v>30</v>
      </c>
      <c r="GX4" t="s">
        <v>1</v>
      </c>
      <c r="GY4" t="s">
        <v>31</v>
      </c>
      <c r="GZ4" t="s">
        <v>19</v>
      </c>
      <c r="HA4" t="s">
        <v>20</v>
      </c>
      <c r="HB4" t="s">
        <v>21</v>
      </c>
      <c r="HC4" t="s">
        <v>22</v>
      </c>
      <c r="HD4" t="s">
        <v>23</v>
      </c>
      <c r="HE4" t="s">
        <v>24</v>
      </c>
      <c r="HF4" t="s">
        <v>32</v>
      </c>
      <c r="HG4" t="s">
        <v>26</v>
      </c>
      <c r="HH4" t="s">
        <v>27</v>
      </c>
      <c r="HI4" t="s">
        <v>28</v>
      </c>
      <c r="HJ4" t="s">
        <v>29</v>
      </c>
      <c r="HK4" t="s">
        <v>30</v>
      </c>
      <c r="HO4" t="s">
        <v>1</v>
      </c>
      <c r="HP4" t="s">
        <v>31</v>
      </c>
      <c r="HQ4" t="s">
        <v>19</v>
      </c>
      <c r="HR4" t="s">
        <v>20</v>
      </c>
      <c r="HS4" t="s">
        <v>21</v>
      </c>
      <c r="HT4" t="s">
        <v>22</v>
      </c>
      <c r="HU4" t="s">
        <v>23</v>
      </c>
      <c r="HV4" t="s">
        <v>24</v>
      </c>
      <c r="HW4" t="s">
        <v>32</v>
      </c>
      <c r="HX4" t="s">
        <v>26</v>
      </c>
      <c r="HY4" t="s">
        <v>27</v>
      </c>
      <c r="HZ4" t="s">
        <v>28</v>
      </c>
      <c r="IA4" t="s">
        <v>29</v>
      </c>
      <c r="IB4" t="s">
        <v>30</v>
      </c>
      <c r="IF4" t="s">
        <v>1</v>
      </c>
      <c r="IG4" t="s">
        <v>31</v>
      </c>
      <c r="IH4" t="s">
        <v>19</v>
      </c>
      <c r="II4" t="s">
        <v>20</v>
      </c>
      <c r="IJ4" t="s">
        <v>21</v>
      </c>
      <c r="IK4" t="s">
        <v>22</v>
      </c>
      <c r="IL4" t="s">
        <v>23</v>
      </c>
      <c r="IM4" t="s">
        <v>24</v>
      </c>
      <c r="IN4" t="s">
        <v>32</v>
      </c>
      <c r="IO4" t="s">
        <v>26</v>
      </c>
      <c r="IP4" t="s">
        <v>27</v>
      </c>
      <c r="IQ4" t="s">
        <v>28</v>
      </c>
      <c r="IR4" t="s">
        <v>29</v>
      </c>
      <c r="IS4" t="s">
        <v>30</v>
      </c>
      <c r="IW4" t="s">
        <v>1</v>
      </c>
      <c r="IX4" t="s">
        <v>31</v>
      </c>
      <c r="IY4" t="s">
        <v>19</v>
      </c>
      <c r="IZ4" t="s">
        <v>20</v>
      </c>
      <c r="JA4" t="s">
        <v>21</v>
      </c>
      <c r="JB4" t="s">
        <v>22</v>
      </c>
      <c r="JC4" t="s">
        <v>23</v>
      </c>
      <c r="JD4" t="s">
        <v>24</v>
      </c>
      <c r="JE4" t="s">
        <v>32</v>
      </c>
      <c r="JF4" t="s">
        <v>26</v>
      </c>
      <c r="JG4" t="s">
        <v>27</v>
      </c>
      <c r="JH4" t="s">
        <v>28</v>
      </c>
      <c r="JI4" t="s">
        <v>29</v>
      </c>
      <c r="JJ4" t="s">
        <v>30</v>
      </c>
      <c r="JN4" t="s">
        <v>1</v>
      </c>
      <c r="JO4" t="s">
        <v>31</v>
      </c>
      <c r="JP4" t="s">
        <v>19</v>
      </c>
      <c r="JQ4" t="s">
        <v>20</v>
      </c>
      <c r="JR4" t="s">
        <v>21</v>
      </c>
      <c r="JS4" t="s">
        <v>22</v>
      </c>
      <c r="JT4" t="s">
        <v>23</v>
      </c>
      <c r="JU4" t="s">
        <v>24</v>
      </c>
      <c r="JV4" t="s">
        <v>32</v>
      </c>
      <c r="JW4" t="s">
        <v>26</v>
      </c>
      <c r="JX4" t="s">
        <v>27</v>
      </c>
      <c r="JY4" t="s">
        <v>28</v>
      </c>
      <c r="JZ4" t="s">
        <v>29</v>
      </c>
      <c r="KA4" t="s">
        <v>30</v>
      </c>
      <c r="KE4" t="s">
        <v>1</v>
      </c>
      <c r="KF4" t="s">
        <v>31</v>
      </c>
      <c r="KG4" t="s">
        <v>19</v>
      </c>
      <c r="KH4" t="s">
        <v>20</v>
      </c>
      <c r="KI4" t="s">
        <v>21</v>
      </c>
      <c r="KJ4" t="s">
        <v>22</v>
      </c>
      <c r="KK4" t="s">
        <v>23</v>
      </c>
      <c r="KL4" t="s">
        <v>24</v>
      </c>
      <c r="KM4" t="s">
        <v>32</v>
      </c>
      <c r="KN4" t="s">
        <v>26</v>
      </c>
      <c r="KO4" t="s">
        <v>27</v>
      </c>
      <c r="KP4" t="s">
        <v>28</v>
      </c>
      <c r="KQ4" t="s">
        <v>29</v>
      </c>
      <c r="KR4" t="s">
        <v>30</v>
      </c>
      <c r="KV4" t="s">
        <v>1</v>
      </c>
      <c r="KW4" t="s">
        <v>31</v>
      </c>
      <c r="KX4" t="s">
        <v>19</v>
      </c>
      <c r="KY4" t="s">
        <v>20</v>
      </c>
      <c r="KZ4" t="s">
        <v>21</v>
      </c>
      <c r="LA4" t="s">
        <v>22</v>
      </c>
      <c r="LB4" t="s">
        <v>23</v>
      </c>
      <c r="LC4" t="s">
        <v>24</v>
      </c>
      <c r="LD4" t="s">
        <v>32</v>
      </c>
      <c r="LE4" t="s">
        <v>26</v>
      </c>
      <c r="LF4" t="s">
        <v>27</v>
      </c>
      <c r="LG4" t="s">
        <v>28</v>
      </c>
      <c r="LH4" t="s">
        <v>29</v>
      </c>
      <c r="LI4" t="s">
        <v>30</v>
      </c>
    </row>
    <row r="5" spans="1:321" x14ac:dyDescent="0.25">
      <c r="A5">
        <f>SUM(D5:O56)</f>
        <v>0</v>
      </c>
      <c r="B5">
        <v>2016</v>
      </c>
      <c r="C5" s="1" t="str">
        <f>'Expense Sheet'!B6</f>
        <v>Rent</v>
      </c>
      <c r="R5">
        <f>SUM(U5:AF56)</f>
        <v>0</v>
      </c>
      <c r="T5" s="1" t="str">
        <f>C5</f>
        <v>Rent</v>
      </c>
      <c r="AI5">
        <f>SUM(AL5:AW56)</f>
        <v>0</v>
      </c>
      <c r="AJ5">
        <v>2018</v>
      </c>
      <c r="AK5" s="1" t="str">
        <f>T5</f>
        <v>Rent</v>
      </c>
      <c r="AZ5">
        <f>SUM(BC5:BN56)</f>
        <v>0</v>
      </c>
      <c r="BA5">
        <v>2019</v>
      </c>
      <c r="BB5" s="1" t="str">
        <f t="shared" ref="BB5:BB23" si="0">AK5</f>
        <v>Rent</v>
      </c>
      <c r="BQ5">
        <f>SUM(BT5:CE56)</f>
        <v>0</v>
      </c>
      <c r="BR5">
        <v>2020</v>
      </c>
      <c r="BS5" s="1" t="str">
        <f t="shared" ref="BS5:BS23" si="1">BB5</f>
        <v>Rent</v>
      </c>
      <c r="CH5">
        <f>SUM(CK5:CV56)</f>
        <v>0</v>
      </c>
      <c r="CJ5" s="1" t="str">
        <f t="shared" ref="CJ5:CJ23" si="2">BS5</f>
        <v>Rent</v>
      </c>
      <c r="CY5">
        <f>SUM(DB5:DM56)</f>
        <v>0</v>
      </c>
      <c r="DA5" s="1" t="str">
        <f t="shared" ref="DA5:DA23" si="3">CJ5</f>
        <v>Rent</v>
      </c>
      <c r="DP5">
        <f>SUM(DS5:ED56)</f>
        <v>0</v>
      </c>
      <c r="DR5" s="1" t="str">
        <f t="shared" ref="DR5:DR23" si="4">DA5</f>
        <v>Rent</v>
      </c>
      <c r="EG5">
        <f>SUM(EJ5:EU56)</f>
        <v>0</v>
      </c>
      <c r="EI5" s="1" t="str">
        <f t="shared" ref="EI5:EI23" si="5">DR5</f>
        <v>Rent</v>
      </c>
      <c r="EX5">
        <f>SUM(FA5:FL56)</f>
        <v>0</v>
      </c>
      <c r="EZ5" s="1" t="str">
        <f t="shared" ref="EZ5:EZ23" si="6">EI5</f>
        <v>Rent</v>
      </c>
      <c r="FO5">
        <f>SUM(FR5:GC56)</f>
        <v>0</v>
      </c>
      <c r="FQ5" s="1" t="str">
        <f t="shared" ref="FQ5:FQ23" si="7">EZ5</f>
        <v>Rent</v>
      </c>
      <c r="GF5">
        <f>SUM(GI5:GT56)</f>
        <v>0</v>
      </c>
      <c r="GH5" s="1" t="str">
        <f t="shared" ref="GH5:GH23" si="8">FQ5</f>
        <v>Rent</v>
      </c>
      <c r="GW5">
        <f>SUM(GZ5:HK56)</f>
        <v>0</v>
      </c>
      <c r="GY5" s="1" t="str">
        <f t="shared" ref="GY5:GY23" si="9">GH5</f>
        <v>Rent</v>
      </c>
      <c r="HN5">
        <f>SUM(HQ5:IB56)</f>
        <v>0</v>
      </c>
      <c r="HP5" s="1" t="str">
        <f t="shared" ref="HP5:HP23" si="10">GY5</f>
        <v>Rent</v>
      </c>
      <c r="IE5">
        <f>SUM(IH5:IS56)</f>
        <v>0</v>
      </c>
      <c r="IF5">
        <v>2011</v>
      </c>
      <c r="IG5" s="1" t="str">
        <f t="shared" ref="IG5:IG23" si="11">HP5</f>
        <v>Rent</v>
      </c>
      <c r="IV5">
        <f>SUM(IY5:JJ56)</f>
        <v>0</v>
      </c>
      <c r="IX5" s="1" t="str">
        <f t="shared" ref="IX5:IX23" si="12">IG5</f>
        <v>Rent</v>
      </c>
      <c r="JM5">
        <f>SUM(JP5:KA56)</f>
        <v>0</v>
      </c>
      <c r="JN5">
        <v>2013</v>
      </c>
      <c r="JO5" s="1" t="str">
        <f t="shared" ref="JO5:JO23" si="13">IX5</f>
        <v>Rent</v>
      </c>
      <c r="KD5">
        <f>SUM(KG5:KR56)</f>
        <v>0</v>
      </c>
      <c r="KF5" s="1" t="str">
        <f t="shared" ref="KF5:KF23" si="14">JO5</f>
        <v>Rent</v>
      </c>
      <c r="KU5">
        <f>SUM(KX5:LI56)</f>
        <v>0</v>
      </c>
      <c r="KW5" s="1" t="str">
        <f t="shared" ref="KW5:KW23" si="15">KF5</f>
        <v>Rent</v>
      </c>
    </row>
    <row r="6" spans="1:321" x14ac:dyDescent="0.25">
      <c r="B6">
        <v>2016</v>
      </c>
      <c r="C6" s="1" t="str">
        <f>'Expense Sheet'!B7</f>
        <v>Transportation</v>
      </c>
      <c r="T6" s="1" t="str">
        <f t="shared" ref="T6:T23" si="16">C6</f>
        <v>Transportation</v>
      </c>
      <c r="AJ6">
        <v>2018</v>
      </c>
      <c r="AK6" s="1" t="str">
        <f t="shared" ref="AK6:AK23" si="17">T6</f>
        <v>Transportation</v>
      </c>
      <c r="BA6">
        <v>2019</v>
      </c>
      <c r="BB6" s="1" t="str">
        <f t="shared" si="0"/>
        <v>Transportation</v>
      </c>
      <c r="BR6">
        <v>2020</v>
      </c>
      <c r="BS6" s="1" t="str">
        <f t="shared" si="1"/>
        <v>Transportation</v>
      </c>
      <c r="CJ6" s="1" t="str">
        <f t="shared" si="2"/>
        <v>Transportation</v>
      </c>
      <c r="DA6" s="1" t="str">
        <f t="shared" si="3"/>
        <v>Transportation</v>
      </c>
      <c r="DR6" s="1" t="str">
        <f t="shared" si="4"/>
        <v>Transportation</v>
      </c>
      <c r="EI6" s="1" t="str">
        <f t="shared" si="5"/>
        <v>Transportation</v>
      </c>
      <c r="EZ6" s="1" t="str">
        <f t="shared" si="6"/>
        <v>Transportation</v>
      </c>
      <c r="FQ6" s="1" t="str">
        <f t="shared" si="7"/>
        <v>Transportation</v>
      </c>
      <c r="GH6" s="1" t="str">
        <f t="shared" si="8"/>
        <v>Transportation</v>
      </c>
      <c r="GY6" s="1" t="str">
        <f t="shared" si="9"/>
        <v>Transportation</v>
      </c>
      <c r="HP6" s="1" t="str">
        <f t="shared" si="10"/>
        <v>Transportation</v>
      </c>
      <c r="IF6">
        <v>2011</v>
      </c>
      <c r="IG6" s="1" t="str">
        <f t="shared" si="11"/>
        <v>Transportation</v>
      </c>
      <c r="IX6" s="1" t="str">
        <f t="shared" si="12"/>
        <v>Transportation</v>
      </c>
      <c r="JN6">
        <v>2013</v>
      </c>
      <c r="JO6" s="1" t="str">
        <f t="shared" si="13"/>
        <v>Transportation</v>
      </c>
      <c r="KF6" s="1" t="str">
        <f t="shared" si="14"/>
        <v>Transportation</v>
      </c>
      <c r="KW6" s="1" t="str">
        <f t="shared" si="15"/>
        <v>Transportation</v>
      </c>
    </row>
    <row r="7" spans="1:321" x14ac:dyDescent="0.25">
      <c r="B7">
        <v>2016</v>
      </c>
      <c r="C7" s="1" t="str">
        <f>'Expense Sheet'!B8</f>
        <v>Staff</v>
      </c>
      <c r="T7" s="1" t="str">
        <f t="shared" si="16"/>
        <v>Staff</v>
      </c>
      <c r="AJ7">
        <v>2018</v>
      </c>
      <c r="AK7" s="1" t="str">
        <f t="shared" si="17"/>
        <v>Staff</v>
      </c>
      <c r="BA7">
        <v>2019</v>
      </c>
      <c r="BB7" s="1" t="str">
        <f t="shared" si="0"/>
        <v>Staff</v>
      </c>
      <c r="BR7">
        <v>2020</v>
      </c>
      <c r="BS7" s="1" t="str">
        <f t="shared" si="1"/>
        <v>Staff</v>
      </c>
      <c r="CJ7" s="1" t="str">
        <f t="shared" si="2"/>
        <v>Staff</v>
      </c>
      <c r="DA7" s="1" t="str">
        <f t="shared" si="3"/>
        <v>Staff</v>
      </c>
      <c r="DR7" s="1" t="str">
        <f t="shared" si="4"/>
        <v>Staff</v>
      </c>
      <c r="EI7" s="1" t="str">
        <f t="shared" si="5"/>
        <v>Staff</v>
      </c>
      <c r="EZ7" s="1" t="str">
        <f t="shared" si="6"/>
        <v>Staff</v>
      </c>
      <c r="FQ7" s="1" t="str">
        <f t="shared" si="7"/>
        <v>Staff</v>
      </c>
      <c r="GH7" s="1" t="str">
        <f t="shared" si="8"/>
        <v>Staff</v>
      </c>
      <c r="GY7" s="1" t="str">
        <f t="shared" si="9"/>
        <v>Staff</v>
      </c>
      <c r="HP7" s="1" t="str">
        <f t="shared" si="10"/>
        <v>Staff</v>
      </c>
      <c r="IF7">
        <v>2011</v>
      </c>
      <c r="IG7" s="1" t="str">
        <f t="shared" si="11"/>
        <v>Staff</v>
      </c>
      <c r="IX7" s="1" t="str">
        <f t="shared" si="12"/>
        <v>Staff</v>
      </c>
      <c r="JN7">
        <v>2013</v>
      </c>
      <c r="JO7" s="1" t="str">
        <f t="shared" si="13"/>
        <v>Staff</v>
      </c>
      <c r="KF7" s="1" t="str">
        <f t="shared" si="14"/>
        <v>Staff</v>
      </c>
      <c r="KW7" s="1" t="str">
        <f t="shared" si="15"/>
        <v>Staff</v>
      </c>
    </row>
    <row r="8" spans="1:321" x14ac:dyDescent="0.25">
      <c r="B8">
        <v>2016</v>
      </c>
      <c r="C8" s="1" t="str">
        <f>'Expense Sheet'!B9</f>
        <v>Labour</v>
      </c>
      <c r="T8" s="1" t="str">
        <f t="shared" si="16"/>
        <v>Labour</v>
      </c>
      <c r="AJ8">
        <v>2018</v>
      </c>
      <c r="AK8" s="1" t="str">
        <f t="shared" si="17"/>
        <v>Labour</v>
      </c>
      <c r="BA8">
        <v>2019</v>
      </c>
      <c r="BB8" s="1" t="str">
        <f t="shared" si="0"/>
        <v>Labour</v>
      </c>
      <c r="BR8">
        <v>2020</v>
      </c>
      <c r="BS8" s="1" t="str">
        <f t="shared" si="1"/>
        <v>Labour</v>
      </c>
      <c r="CJ8" s="1" t="str">
        <f t="shared" si="2"/>
        <v>Labour</v>
      </c>
      <c r="DA8" s="1" t="str">
        <f t="shared" si="3"/>
        <v>Labour</v>
      </c>
      <c r="DR8" s="1" t="str">
        <f t="shared" si="4"/>
        <v>Labour</v>
      </c>
      <c r="EI8" s="1" t="str">
        <f t="shared" si="5"/>
        <v>Labour</v>
      </c>
      <c r="EZ8" s="1" t="str">
        <f t="shared" si="6"/>
        <v>Labour</v>
      </c>
      <c r="FQ8" s="1" t="str">
        <f t="shared" si="7"/>
        <v>Labour</v>
      </c>
      <c r="GH8" s="1" t="str">
        <f t="shared" si="8"/>
        <v>Labour</v>
      </c>
      <c r="GY8" s="1" t="str">
        <f t="shared" si="9"/>
        <v>Labour</v>
      </c>
      <c r="HP8" s="1" t="str">
        <f t="shared" si="10"/>
        <v>Labour</v>
      </c>
      <c r="IF8">
        <v>2011</v>
      </c>
      <c r="IG8" s="1" t="str">
        <f t="shared" si="11"/>
        <v>Labour</v>
      </c>
      <c r="IX8" s="1" t="str">
        <f t="shared" si="12"/>
        <v>Labour</v>
      </c>
      <c r="JN8">
        <v>2013</v>
      </c>
      <c r="JO8" s="1" t="str">
        <f t="shared" si="13"/>
        <v>Labour</v>
      </c>
      <c r="KF8" s="1" t="str">
        <f t="shared" si="14"/>
        <v>Labour</v>
      </c>
      <c r="KW8" s="1" t="str">
        <f t="shared" si="15"/>
        <v>Labour</v>
      </c>
    </row>
    <row r="9" spans="1:321" x14ac:dyDescent="0.25">
      <c r="B9">
        <v>2016</v>
      </c>
      <c r="C9" s="1" t="str">
        <f>'Expense Sheet'!B10</f>
        <v>Electricity</v>
      </c>
      <c r="T9" s="1" t="str">
        <f t="shared" si="16"/>
        <v>Electricity</v>
      </c>
      <c r="AJ9">
        <v>2018</v>
      </c>
      <c r="AK9" s="1" t="str">
        <f t="shared" si="17"/>
        <v>Electricity</v>
      </c>
      <c r="BA9">
        <v>2019</v>
      </c>
      <c r="BB9" s="1" t="str">
        <f t="shared" si="0"/>
        <v>Electricity</v>
      </c>
      <c r="BR9">
        <v>2020</v>
      </c>
      <c r="BS9" s="1" t="str">
        <f t="shared" si="1"/>
        <v>Electricity</v>
      </c>
      <c r="CJ9" s="1" t="str">
        <f t="shared" si="2"/>
        <v>Electricity</v>
      </c>
      <c r="DA9" s="1" t="str">
        <f t="shared" si="3"/>
        <v>Electricity</v>
      </c>
      <c r="DR9" s="1" t="str">
        <f t="shared" si="4"/>
        <v>Electricity</v>
      </c>
      <c r="EI9" s="1" t="str">
        <f t="shared" si="5"/>
        <v>Electricity</v>
      </c>
      <c r="EZ9" s="1" t="str">
        <f t="shared" si="6"/>
        <v>Electricity</v>
      </c>
      <c r="FQ9" s="1" t="str">
        <f t="shared" si="7"/>
        <v>Electricity</v>
      </c>
      <c r="GH9" s="1" t="str">
        <f t="shared" si="8"/>
        <v>Electricity</v>
      </c>
      <c r="GY9" s="1" t="str">
        <f t="shared" si="9"/>
        <v>Electricity</v>
      </c>
      <c r="HP9" s="1" t="str">
        <f t="shared" si="10"/>
        <v>Electricity</v>
      </c>
      <c r="IF9">
        <v>2011</v>
      </c>
      <c r="IG9" s="1" t="str">
        <f t="shared" si="11"/>
        <v>Electricity</v>
      </c>
      <c r="IX9" s="1" t="str">
        <f t="shared" si="12"/>
        <v>Electricity</v>
      </c>
      <c r="JN9">
        <v>2013</v>
      </c>
      <c r="JO9" s="1" t="str">
        <f t="shared" si="13"/>
        <v>Electricity</v>
      </c>
      <c r="KF9" s="1" t="str">
        <f t="shared" si="14"/>
        <v>Electricity</v>
      </c>
      <c r="KW9" s="1" t="str">
        <f t="shared" si="15"/>
        <v>Electricity</v>
      </c>
    </row>
    <row r="10" spans="1:321" x14ac:dyDescent="0.25">
      <c r="B10">
        <v>2016</v>
      </c>
      <c r="C10" s="1" t="str">
        <f>'Expense Sheet'!B11</f>
        <v>Telephone</v>
      </c>
      <c r="T10" s="1" t="str">
        <f t="shared" si="16"/>
        <v>Telephone</v>
      </c>
      <c r="AJ10">
        <v>2018</v>
      </c>
      <c r="AK10" s="1" t="str">
        <f t="shared" si="17"/>
        <v>Telephone</v>
      </c>
      <c r="BA10">
        <v>2019</v>
      </c>
      <c r="BB10" s="1" t="str">
        <f t="shared" si="0"/>
        <v>Telephone</v>
      </c>
      <c r="BR10">
        <v>2020</v>
      </c>
      <c r="BS10" s="1" t="str">
        <f t="shared" si="1"/>
        <v>Telephone</v>
      </c>
      <c r="CJ10" s="1" t="str">
        <f t="shared" si="2"/>
        <v>Telephone</v>
      </c>
      <c r="DA10" s="1" t="str">
        <f t="shared" si="3"/>
        <v>Telephone</v>
      </c>
      <c r="DR10" s="1" t="str">
        <f t="shared" si="4"/>
        <v>Telephone</v>
      </c>
      <c r="EI10" s="1" t="str">
        <f t="shared" si="5"/>
        <v>Telephone</v>
      </c>
      <c r="EZ10" s="1" t="str">
        <f t="shared" si="6"/>
        <v>Telephone</v>
      </c>
      <c r="FQ10" s="1" t="str">
        <f t="shared" si="7"/>
        <v>Telephone</v>
      </c>
      <c r="GH10" s="1" t="str">
        <f t="shared" si="8"/>
        <v>Telephone</v>
      </c>
      <c r="GY10" s="1" t="str">
        <f t="shared" si="9"/>
        <v>Telephone</v>
      </c>
      <c r="HP10" s="1" t="str">
        <f t="shared" si="10"/>
        <v>Telephone</v>
      </c>
      <c r="IF10">
        <v>2011</v>
      </c>
      <c r="IG10" s="1" t="str">
        <f t="shared" si="11"/>
        <v>Telephone</v>
      </c>
      <c r="IX10" s="1" t="str">
        <f t="shared" si="12"/>
        <v>Telephone</v>
      </c>
      <c r="JN10">
        <v>2013</v>
      </c>
      <c r="JO10" s="1" t="str">
        <f t="shared" si="13"/>
        <v>Telephone</v>
      </c>
      <c r="KF10" s="1" t="str">
        <f t="shared" si="14"/>
        <v>Telephone</v>
      </c>
      <c r="KW10" s="1" t="str">
        <f t="shared" si="15"/>
        <v>Telephone</v>
      </c>
    </row>
    <row r="11" spans="1:321" x14ac:dyDescent="0.25">
      <c r="B11">
        <v>2016</v>
      </c>
      <c r="C11" s="1" t="str">
        <f>'Expense Sheet'!B12</f>
        <v>Fuel</v>
      </c>
      <c r="T11" s="1" t="str">
        <f t="shared" si="16"/>
        <v>Fuel</v>
      </c>
      <c r="AJ11">
        <v>2018</v>
      </c>
      <c r="AK11" s="1" t="str">
        <f t="shared" si="17"/>
        <v>Fuel</v>
      </c>
      <c r="BA11">
        <v>2019</v>
      </c>
      <c r="BB11" s="1" t="str">
        <f t="shared" si="0"/>
        <v>Fuel</v>
      </c>
      <c r="BR11">
        <v>2020</v>
      </c>
      <c r="BS11" s="1" t="str">
        <f t="shared" si="1"/>
        <v>Fuel</v>
      </c>
      <c r="CJ11" s="1" t="str">
        <f t="shared" si="2"/>
        <v>Fuel</v>
      </c>
      <c r="DA11" s="1" t="str">
        <f t="shared" si="3"/>
        <v>Fuel</v>
      </c>
      <c r="DR11" s="1" t="str">
        <f t="shared" si="4"/>
        <v>Fuel</v>
      </c>
      <c r="EI11" s="1" t="str">
        <f t="shared" si="5"/>
        <v>Fuel</v>
      </c>
      <c r="EZ11" s="1" t="str">
        <f t="shared" si="6"/>
        <v>Fuel</v>
      </c>
      <c r="FQ11" s="1" t="str">
        <f t="shared" si="7"/>
        <v>Fuel</v>
      </c>
      <c r="GH11" s="1" t="str">
        <f t="shared" si="8"/>
        <v>Fuel</v>
      </c>
      <c r="GY11" s="1" t="str">
        <f t="shared" si="9"/>
        <v>Fuel</v>
      </c>
      <c r="HP11" s="1" t="str">
        <f t="shared" si="10"/>
        <v>Fuel</v>
      </c>
      <c r="IF11">
        <v>2011</v>
      </c>
      <c r="IG11" s="1" t="str">
        <f t="shared" si="11"/>
        <v>Fuel</v>
      </c>
      <c r="IX11" s="1" t="str">
        <f t="shared" si="12"/>
        <v>Fuel</v>
      </c>
      <c r="JN11">
        <v>2013</v>
      </c>
      <c r="JO11" s="1" t="str">
        <f t="shared" si="13"/>
        <v>Fuel</v>
      </c>
      <c r="KF11" s="1" t="str">
        <f t="shared" si="14"/>
        <v>Fuel</v>
      </c>
      <c r="KW11" s="1" t="str">
        <f t="shared" si="15"/>
        <v>Fuel</v>
      </c>
    </row>
    <row r="12" spans="1:321" x14ac:dyDescent="0.25">
      <c r="B12">
        <v>2016</v>
      </c>
      <c r="C12" s="1" t="str">
        <f>'Expense Sheet'!B13</f>
        <v>Insurance</v>
      </c>
      <c r="T12" s="1" t="str">
        <f t="shared" si="16"/>
        <v>Insurance</v>
      </c>
      <c r="AJ12">
        <v>2018</v>
      </c>
      <c r="AK12" s="1" t="str">
        <f t="shared" si="17"/>
        <v>Insurance</v>
      </c>
      <c r="BA12">
        <v>2019</v>
      </c>
      <c r="BB12" s="1" t="str">
        <f t="shared" si="0"/>
        <v>Insurance</v>
      </c>
      <c r="BR12">
        <v>2020</v>
      </c>
      <c r="BS12" s="1" t="str">
        <f t="shared" si="1"/>
        <v>Insurance</v>
      </c>
      <c r="CJ12" s="1" t="str">
        <f t="shared" si="2"/>
        <v>Insurance</v>
      </c>
      <c r="DA12" s="1" t="str">
        <f t="shared" si="3"/>
        <v>Insurance</v>
      </c>
      <c r="DR12" s="1" t="str">
        <f t="shared" si="4"/>
        <v>Insurance</v>
      </c>
      <c r="EI12" s="1" t="str">
        <f t="shared" si="5"/>
        <v>Insurance</v>
      </c>
      <c r="EZ12" s="1" t="str">
        <f t="shared" si="6"/>
        <v>Insurance</v>
      </c>
      <c r="FQ12" s="1" t="str">
        <f t="shared" si="7"/>
        <v>Insurance</v>
      </c>
      <c r="GH12" s="1" t="str">
        <f t="shared" si="8"/>
        <v>Insurance</v>
      </c>
      <c r="GY12" s="1" t="str">
        <f t="shared" si="9"/>
        <v>Insurance</v>
      </c>
      <c r="HP12" s="1" t="str">
        <f t="shared" si="10"/>
        <v>Insurance</v>
      </c>
      <c r="IF12">
        <v>2011</v>
      </c>
      <c r="IG12" s="1" t="str">
        <f t="shared" si="11"/>
        <v>Insurance</v>
      </c>
      <c r="IX12" s="1" t="str">
        <f t="shared" si="12"/>
        <v>Insurance</v>
      </c>
      <c r="JN12">
        <v>2013</v>
      </c>
      <c r="JO12" s="1" t="str">
        <f t="shared" si="13"/>
        <v>Insurance</v>
      </c>
      <c r="KF12" s="1" t="str">
        <f t="shared" si="14"/>
        <v>Insurance</v>
      </c>
      <c r="KW12" s="1" t="str">
        <f t="shared" si="15"/>
        <v>Insurance</v>
      </c>
    </row>
    <row r="13" spans="1:321" x14ac:dyDescent="0.25">
      <c r="B13">
        <v>2016</v>
      </c>
      <c r="C13" s="1" t="str">
        <f>'Expense Sheet'!B14</f>
        <v>Bank Interest</v>
      </c>
      <c r="T13" s="1" t="str">
        <f t="shared" si="16"/>
        <v>Bank Interest</v>
      </c>
      <c r="AJ13">
        <v>2018</v>
      </c>
      <c r="AK13" s="1" t="str">
        <f t="shared" si="17"/>
        <v>Bank Interest</v>
      </c>
      <c r="BA13">
        <v>2019</v>
      </c>
      <c r="BB13" s="1" t="str">
        <f t="shared" si="0"/>
        <v>Bank Interest</v>
      </c>
      <c r="BR13">
        <v>2020</v>
      </c>
      <c r="BS13" s="1" t="str">
        <f t="shared" si="1"/>
        <v>Bank Interest</v>
      </c>
      <c r="CJ13" s="1" t="str">
        <f t="shared" si="2"/>
        <v>Bank Interest</v>
      </c>
      <c r="DA13" s="1" t="str">
        <f t="shared" si="3"/>
        <v>Bank Interest</v>
      </c>
      <c r="DR13" s="1" t="str">
        <f t="shared" si="4"/>
        <v>Bank Interest</v>
      </c>
      <c r="EI13" s="1" t="str">
        <f t="shared" si="5"/>
        <v>Bank Interest</v>
      </c>
      <c r="EZ13" s="1" t="str">
        <f t="shared" si="6"/>
        <v>Bank Interest</v>
      </c>
      <c r="FQ13" s="1" t="str">
        <f t="shared" si="7"/>
        <v>Bank Interest</v>
      </c>
      <c r="GH13" s="1" t="str">
        <f t="shared" si="8"/>
        <v>Bank Interest</v>
      </c>
      <c r="GY13" s="1" t="str">
        <f t="shared" si="9"/>
        <v>Bank Interest</v>
      </c>
      <c r="HP13" s="1" t="str">
        <f t="shared" si="10"/>
        <v>Bank Interest</v>
      </c>
      <c r="IF13">
        <v>2011</v>
      </c>
      <c r="IG13" s="1" t="str">
        <f t="shared" si="11"/>
        <v>Bank Interest</v>
      </c>
      <c r="IX13" s="1" t="str">
        <f t="shared" si="12"/>
        <v>Bank Interest</v>
      </c>
      <c r="JN13">
        <v>2013</v>
      </c>
      <c r="JO13" s="1" t="str">
        <f t="shared" si="13"/>
        <v>Bank Interest</v>
      </c>
      <c r="KF13" s="1" t="str">
        <f t="shared" si="14"/>
        <v>Bank Interest</v>
      </c>
      <c r="KW13" s="1" t="str">
        <f t="shared" si="15"/>
        <v>Bank Interest</v>
      </c>
    </row>
    <row r="14" spans="1:321" x14ac:dyDescent="0.25">
      <c r="B14">
        <v>2016</v>
      </c>
      <c r="C14" s="1" t="str">
        <f>'Expense Sheet'!B15</f>
        <v>Stationary</v>
      </c>
      <c r="T14" s="1" t="str">
        <f t="shared" si="16"/>
        <v>Stationary</v>
      </c>
      <c r="AJ14">
        <v>2018</v>
      </c>
      <c r="AK14" s="1" t="str">
        <f t="shared" si="17"/>
        <v>Stationary</v>
      </c>
      <c r="BA14">
        <v>2019</v>
      </c>
      <c r="BB14" s="1" t="str">
        <f t="shared" si="0"/>
        <v>Stationary</v>
      </c>
      <c r="BR14">
        <v>2020</v>
      </c>
      <c r="BS14" s="1" t="str">
        <f t="shared" si="1"/>
        <v>Stationary</v>
      </c>
      <c r="CJ14" s="1" t="str">
        <f t="shared" si="2"/>
        <v>Stationary</v>
      </c>
      <c r="DA14" s="1" t="str">
        <f t="shared" si="3"/>
        <v>Stationary</v>
      </c>
      <c r="DR14" s="1" t="str">
        <f t="shared" si="4"/>
        <v>Stationary</v>
      </c>
      <c r="EI14" s="1" t="str">
        <f t="shared" si="5"/>
        <v>Stationary</v>
      </c>
      <c r="EZ14" s="1" t="str">
        <f t="shared" si="6"/>
        <v>Stationary</v>
      </c>
      <c r="FQ14" s="1" t="str">
        <f t="shared" si="7"/>
        <v>Stationary</v>
      </c>
      <c r="GH14" s="1" t="str">
        <f t="shared" si="8"/>
        <v>Stationary</v>
      </c>
      <c r="GY14" s="1" t="str">
        <f t="shared" si="9"/>
        <v>Stationary</v>
      </c>
      <c r="HP14" s="1" t="str">
        <f t="shared" si="10"/>
        <v>Stationary</v>
      </c>
      <c r="IF14">
        <v>2011</v>
      </c>
      <c r="IG14" s="1" t="str">
        <f t="shared" si="11"/>
        <v>Stationary</v>
      </c>
      <c r="IX14" s="1" t="str">
        <f t="shared" si="12"/>
        <v>Stationary</v>
      </c>
      <c r="JN14">
        <v>2013</v>
      </c>
      <c r="JO14" s="1" t="str">
        <f t="shared" si="13"/>
        <v>Stationary</v>
      </c>
      <c r="KF14" s="1" t="str">
        <f t="shared" si="14"/>
        <v>Stationary</v>
      </c>
      <c r="KW14" s="1" t="str">
        <f t="shared" si="15"/>
        <v>Stationary</v>
      </c>
    </row>
    <row r="15" spans="1:321" x14ac:dyDescent="0.25">
      <c r="B15">
        <v>2016</v>
      </c>
      <c r="C15" s="1" t="str">
        <f>'Expense Sheet'!B16</f>
        <v>Tea/Water</v>
      </c>
      <c r="T15" s="1" t="str">
        <f t="shared" si="16"/>
        <v>Tea/Water</v>
      </c>
      <c r="AJ15">
        <v>2018</v>
      </c>
      <c r="AK15" s="1" t="str">
        <f t="shared" si="17"/>
        <v>Tea/Water</v>
      </c>
      <c r="BA15">
        <v>2019</v>
      </c>
      <c r="BB15" s="1" t="str">
        <f t="shared" si="0"/>
        <v>Tea/Water</v>
      </c>
      <c r="BR15">
        <v>2020</v>
      </c>
      <c r="BS15" s="1" t="str">
        <f t="shared" si="1"/>
        <v>Tea/Water</v>
      </c>
      <c r="CJ15" s="1" t="str">
        <f t="shared" si="2"/>
        <v>Tea/Water</v>
      </c>
      <c r="DA15" s="1" t="str">
        <f t="shared" si="3"/>
        <v>Tea/Water</v>
      </c>
      <c r="DR15" s="1" t="str">
        <f t="shared" si="4"/>
        <v>Tea/Water</v>
      </c>
      <c r="EI15" s="1" t="str">
        <f t="shared" si="5"/>
        <v>Tea/Water</v>
      </c>
      <c r="EZ15" s="1" t="str">
        <f t="shared" si="6"/>
        <v>Tea/Water</v>
      </c>
      <c r="FQ15" s="1" t="str">
        <f t="shared" si="7"/>
        <v>Tea/Water</v>
      </c>
      <c r="GH15" s="1" t="str">
        <f t="shared" si="8"/>
        <v>Tea/Water</v>
      </c>
      <c r="GY15" s="1" t="str">
        <f t="shared" si="9"/>
        <v>Tea/Water</v>
      </c>
      <c r="HP15" s="1" t="str">
        <f t="shared" si="10"/>
        <v>Tea/Water</v>
      </c>
      <c r="IF15">
        <v>2011</v>
      </c>
      <c r="IG15" s="1" t="str">
        <f t="shared" si="11"/>
        <v>Tea/Water</v>
      </c>
      <c r="IX15" s="1" t="str">
        <f t="shared" si="12"/>
        <v>Tea/Water</v>
      </c>
      <c r="JN15">
        <v>2013</v>
      </c>
      <c r="JO15" s="1" t="str">
        <f t="shared" si="13"/>
        <v>Tea/Water</v>
      </c>
      <c r="KF15" s="1" t="str">
        <f t="shared" si="14"/>
        <v>Tea/Water</v>
      </c>
      <c r="KW15" s="1" t="str">
        <f t="shared" si="15"/>
        <v>Tea/Water</v>
      </c>
    </row>
    <row r="16" spans="1:321" x14ac:dyDescent="0.25">
      <c r="B16">
        <v>2016</v>
      </c>
      <c r="C16" s="1" t="str">
        <f>'Expense Sheet'!B17</f>
        <v>General</v>
      </c>
      <c r="T16" s="1" t="str">
        <f t="shared" si="16"/>
        <v>General</v>
      </c>
      <c r="AJ16">
        <v>2018</v>
      </c>
      <c r="AK16" s="1" t="str">
        <f t="shared" si="17"/>
        <v>General</v>
      </c>
      <c r="BA16">
        <v>2019</v>
      </c>
      <c r="BB16" s="1" t="str">
        <f t="shared" si="0"/>
        <v>General</v>
      </c>
      <c r="BR16">
        <v>2020</v>
      </c>
      <c r="BS16" s="1" t="str">
        <f t="shared" si="1"/>
        <v>General</v>
      </c>
      <c r="CJ16" s="1" t="str">
        <f t="shared" si="2"/>
        <v>General</v>
      </c>
      <c r="DA16" s="1" t="str">
        <f t="shared" si="3"/>
        <v>General</v>
      </c>
      <c r="DR16" s="1" t="str">
        <f t="shared" si="4"/>
        <v>General</v>
      </c>
      <c r="EI16" s="1" t="str">
        <f t="shared" si="5"/>
        <v>General</v>
      </c>
      <c r="EZ16" s="1" t="str">
        <f t="shared" si="6"/>
        <v>General</v>
      </c>
      <c r="FQ16" s="1" t="str">
        <f t="shared" si="7"/>
        <v>General</v>
      </c>
      <c r="GH16" s="1" t="str">
        <f t="shared" si="8"/>
        <v>General</v>
      </c>
      <c r="GY16" s="1" t="str">
        <f t="shared" si="9"/>
        <v>General</v>
      </c>
      <c r="HP16" s="1" t="str">
        <f t="shared" si="10"/>
        <v>General</v>
      </c>
      <c r="IF16">
        <v>2011</v>
      </c>
      <c r="IG16" s="1" t="str">
        <f t="shared" si="11"/>
        <v>General</v>
      </c>
      <c r="IX16" s="1" t="str">
        <f t="shared" si="12"/>
        <v>General</v>
      </c>
      <c r="JN16">
        <v>2013</v>
      </c>
      <c r="JO16" s="1" t="str">
        <f t="shared" si="13"/>
        <v>General</v>
      </c>
      <c r="KF16" s="1" t="str">
        <f t="shared" si="14"/>
        <v>General</v>
      </c>
      <c r="KW16" s="1" t="str">
        <f t="shared" si="15"/>
        <v>General</v>
      </c>
    </row>
    <row r="17" spans="2:309" ht="30" x14ac:dyDescent="0.25">
      <c r="B17">
        <v>2016</v>
      </c>
      <c r="C17" s="2" t="str">
        <f>'Expense Sheet'!B18</f>
        <v>Repair and Maintainance</v>
      </c>
      <c r="T17" s="2" t="str">
        <f t="shared" si="16"/>
        <v>Repair and Maintainance</v>
      </c>
      <c r="AJ17">
        <v>2018</v>
      </c>
      <c r="AK17" s="2" t="str">
        <f t="shared" si="17"/>
        <v>Repair and Maintainance</v>
      </c>
      <c r="BA17">
        <v>2019</v>
      </c>
      <c r="BB17" s="2" t="str">
        <f t="shared" si="0"/>
        <v>Repair and Maintainance</v>
      </c>
      <c r="BR17">
        <v>2020</v>
      </c>
      <c r="BS17" s="2" t="str">
        <f t="shared" si="1"/>
        <v>Repair and Maintainance</v>
      </c>
      <c r="CJ17" s="2" t="str">
        <f t="shared" si="2"/>
        <v>Repair and Maintainance</v>
      </c>
      <c r="DA17" s="2" t="str">
        <f t="shared" si="3"/>
        <v>Repair and Maintainance</v>
      </c>
      <c r="DR17" s="2" t="str">
        <f t="shared" si="4"/>
        <v>Repair and Maintainance</v>
      </c>
      <c r="EI17" s="2" t="str">
        <f t="shared" si="5"/>
        <v>Repair and Maintainance</v>
      </c>
      <c r="EZ17" s="2" t="str">
        <f t="shared" si="6"/>
        <v>Repair and Maintainance</v>
      </c>
      <c r="FQ17" s="2" t="str">
        <f t="shared" si="7"/>
        <v>Repair and Maintainance</v>
      </c>
      <c r="GH17" s="2" t="str">
        <f t="shared" si="8"/>
        <v>Repair and Maintainance</v>
      </c>
      <c r="GY17" s="2" t="str">
        <f t="shared" si="9"/>
        <v>Repair and Maintainance</v>
      </c>
      <c r="HP17" s="2" t="str">
        <f t="shared" si="10"/>
        <v>Repair and Maintainance</v>
      </c>
      <c r="IF17">
        <v>2011</v>
      </c>
      <c r="IG17" s="2" t="str">
        <f t="shared" si="11"/>
        <v>Repair and Maintainance</v>
      </c>
      <c r="IX17" s="2" t="str">
        <f t="shared" si="12"/>
        <v>Repair and Maintainance</v>
      </c>
      <c r="JN17">
        <v>2013</v>
      </c>
      <c r="JO17" s="2" t="str">
        <f t="shared" si="13"/>
        <v>Repair and Maintainance</v>
      </c>
      <c r="KF17" s="2" t="str">
        <f t="shared" si="14"/>
        <v>Repair and Maintainance</v>
      </c>
      <c r="KW17" s="2" t="str">
        <f t="shared" si="15"/>
        <v>Repair and Maintainance</v>
      </c>
    </row>
    <row r="18" spans="2:309" x14ac:dyDescent="0.25">
      <c r="B18">
        <v>2016</v>
      </c>
      <c r="C18" s="1" t="str">
        <f>'Expense Sheet'!B19</f>
        <v>Laser Cutting</v>
      </c>
      <c r="T18" s="1" t="str">
        <f t="shared" si="16"/>
        <v>Laser Cutting</v>
      </c>
      <c r="AJ18">
        <v>2018</v>
      </c>
      <c r="AK18" s="1" t="str">
        <f t="shared" si="17"/>
        <v>Laser Cutting</v>
      </c>
      <c r="BA18">
        <v>2019</v>
      </c>
      <c r="BB18" s="1" t="str">
        <f t="shared" si="0"/>
        <v>Laser Cutting</v>
      </c>
      <c r="BR18">
        <v>2020</v>
      </c>
      <c r="BS18" s="1" t="str">
        <f t="shared" si="1"/>
        <v>Laser Cutting</v>
      </c>
      <c r="CJ18" s="1" t="str">
        <f t="shared" si="2"/>
        <v>Laser Cutting</v>
      </c>
      <c r="DA18" s="1" t="str">
        <f t="shared" si="3"/>
        <v>Laser Cutting</v>
      </c>
      <c r="DR18" s="1" t="str">
        <f t="shared" si="4"/>
        <v>Laser Cutting</v>
      </c>
      <c r="EI18" s="1" t="str">
        <f t="shared" si="5"/>
        <v>Laser Cutting</v>
      </c>
      <c r="EZ18" s="1" t="str">
        <f t="shared" si="6"/>
        <v>Laser Cutting</v>
      </c>
      <c r="FQ18" s="1" t="str">
        <f t="shared" si="7"/>
        <v>Laser Cutting</v>
      </c>
      <c r="GH18" s="1" t="str">
        <f t="shared" si="8"/>
        <v>Laser Cutting</v>
      </c>
      <c r="GY18" s="1" t="str">
        <f t="shared" si="9"/>
        <v>Laser Cutting</v>
      </c>
      <c r="HP18" s="1" t="str">
        <f t="shared" si="10"/>
        <v>Laser Cutting</v>
      </c>
      <c r="IF18">
        <v>2011</v>
      </c>
      <c r="IG18" s="1" t="str">
        <f t="shared" si="11"/>
        <v>Laser Cutting</v>
      </c>
      <c r="IX18" s="1" t="str">
        <f t="shared" si="12"/>
        <v>Laser Cutting</v>
      </c>
      <c r="JN18">
        <v>2013</v>
      </c>
      <c r="JO18" s="1" t="str">
        <f t="shared" si="13"/>
        <v>Laser Cutting</v>
      </c>
      <c r="KF18" s="1" t="str">
        <f t="shared" si="14"/>
        <v>Laser Cutting</v>
      </c>
      <c r="KW18" s="1" t="str">
        <f t="shared" si="15"/>
        <v>Laser Cutting</v>
      </c>
    </row>
    <row r="19" spans="2:309" x14ac:dyDescent="0.25">
      <c r="B19">
        <v>2016</v>
      </c>
      <c r="C19" s="1" t="str">
        <f>'Expense Sheet'!B20</f>
        <v>Internet</v>
      </c>
      <c r="T19" s="1" t="str">
        <f t="shared" si="16"/>
        <v>Internet</v>
      </c>
      <c r="AJ19">
        <v>2018</v>
      </c>
      <c r="AK19" s="1" t="str">
        <f t="shared" si="17"/>
        <v>Internet</v>
      </c>
      <c r="BA19">
        <v>2019</v>
      </c>
      <c r="BB19" s="1" t="str">
        <f t="shared" si="0"/>
        <v>Internet</v>
      </c>
      <c r="BR19">
        <v>2020</v>
      </c>
      <c r="BS19" s="1" t="str">
        <f t="shared" si="1"/>
        <v>Internet</v>
      </c>
      <c r="CJ19" s="1" t="str">
        <f t="shared" si="2"/>
        <v>Internet</v>
      </c>
      <c r="DA19" s="1" t="str">
        <f t="shared" si="3"/>
        <v>Internet</v>
      </c>
      <c r="DR19" s="1" t="str">
        <f t="shared" si="4"/>
        <v>Internet</v>
      </c>
      <c r="EI19" s="1" t="str">
        <f t="shared" si="5"/>
        <v>Internet</v>
      </c>
      <c r="EZ19" s="1" t="str">
        <f t="shared" si="6"/>
        <v>Internet</v>
      </c>
      <c r="FQ19" s="1" t="str">
        <f t="shared" si="7"/>
        <v>Internet</v>
      </c>
      <c r="GH19" s="1" t="str">
        <f t="shared" si="8"/>
        <v>Internet</v>
      </c>
      <c r="GY19" s="1" t="str">
        <f t="shared" si="9"/>
        <v>Internet</v>
      </c>
      <c r="HP19" s="1" t="str">
        <f t="shared" si="10"/>
        <v>Internet</v>
      </c>
      <c r="IF19">
        <v>2011</v>
      </c>
      <c r="IG19" s="1" t="str">
        <f t="shared" si="11"/>
        <v>Internet</v>
      </c>
      <c r="IX19" s="1" t="str">
        <f t="shared" si="12"/>
        <v>Internet</v>
      </c>
      <c r="JN19">
        <v>2013</v>
      </c>
      <c r="JO19" s="1" t="str">
        <f t="shared" si="13"/>
        <v>Internet</v>
      </c>
      <c r="KF19" s="1" t="str">
        <f t="shared" si="14"/>
        <v>Internet</v>
      </c>
      <c r="KW19" s="1" t="str">
        <f t="shared" si="15"/>
        <v>Internet</v>
      </c>
    </row>
    <row r="20" spans="2:309" x14ac:dyDescent="0.25">
      <c r="B20">
        <v>2016</v>
      </c>
      <c r="C20" s="1" t="str">
        <f>'Expense Sheet'!B21</f>
        <v>Office Expenses</v>
      </c>
      <c r="T20" s="1" t="str">
        <f t="shared" si="16"/>
        <v>Office Expenses</v>
      </c>
      <c r="AJ20">
        <v>2018</v>
      </c>
      <c r="AK20" s="1" t="str">
        <f t="shared" si="17"/>
        <v>Office Expenses</v>
      </c>
      <c r="BA20">
        <v>2019</v>
      </c>
      <c r="BB20" s="1" t="str">
        <f t="shared" si="0"/>
        <v>Office Expenses</v>
      </c>
      <c r="BR20">
        <v>2020</v>
      </c>
      <c r="BS20" s="1" t="str">
        <f t="shared" si="1"/>
        <v>Office Expenses</v>
      </c>
      <c r="CJ20" s="1" t="str">
        <f t="shared" si="2"/>
        <v>Office Expenses</v>
      </c>
      <c r="DA20" s="1" t="str">
        <f t="shared" si="3"/>
        <v>Office Expenses</v>
      </c>
      <c r="DR20" s="1" t="str">
        <f t="shared" si="4"/>
        <v>Office Expenses</v>
      </c>
      <c r="EI20" s="1" t="str">
        <f t="shared" si="5"/>
        <v>Office Expenses</v>
      </c>
      <c r="EZ20" s="1" t="str">
        <f t="shared" si="6"/>
        <v>Office Expenses</v>
      </c>
      <c r="FQ20" s="1" t="str">
        <f t="shared" si="7"/>
        <v>Office Expenses</v>
      </c>
      <c r="GH20" s="1" t="str">
        <f t="shared" si="8"/>
        <v>Office Expenses</v>
      </c>
      <c r="GY20" s="1" t="str">
        <f t="shared" si="9"/>
        <v>Office Expenses</v>
      </c>
      <c r="HP20" s="1" t="str">
        <f t="shared" si="10"/>
        <v>Office Expenses</v>
      </c>
      <c r="IF20">
        <v>2011</v>
      </c>
      <c r="IG20" s="1" t="str">
        <f t="shared" si="11"/>
        <v>Office Expenses</v>
      </c>
      <c r="IX20" s="1" t="str">
        <f t="shared" si="12"/>
        <v>Office Expenses</v>
      </c>
      <c r="JN20">
        <v>2013</v>
      </c>
      <c r="JO20" s="1" t="str">
        <f t="shared" si="13"/>
        <v>Office Expenses</v>
      </c>
      <c r="KF20" s="1" t="str">
        <f t="shared" si="14"/>
        <v>Office Expenses</v>
      </c>
      <c r="KW20" s="1" t="str">
        <f t="shared" si="15"/>
        <v>Office Expenses</v>
      </c>
    </row>
    <row r="21" spans="2:309" x14ac:dyDescent="0.25">
      <c r="B21">
        <v>2016</v>
      </c>
      <c r="C21" s="1" t="str">
        <f>'Expense Sheet'!B22</f>
        <v>Bank Withdrawl</v>
      </c>
      <c r="T21" s="1" t="str">
        <f t="shared" si="16"/>
        <v>Bank Withdrawl</v>
      </c>
      <c r="AJ21">
        <v>2018</v>
      </c>
      <c r="AK21" s="1" t="str">
        <f t="shared" si="17"/>
        <v>Bank Withdrawl</v>
      </c>
      <c r="BA21">
        <v>2019</v>
      </c>
      <c r="BB21" s="1" t="str">
        <f t="shared" si="0"/>
        <v>Bank Withdrawl</v>
      </c>
      <c r="BR21">
        <v>2020</v>
      </c>
      <c r="BS21" s="1" t="str">
        <f t="shared" si="1"/>
        <v>Bank Withdrawl</v>
      </c>
      <c r="CJ21" s="1" t="str">
        <f t="shared" si="2"/>
        <v>Bank Withdrawl</v>
      </c>
      <c r="DA21" s="1" t="str">
        <f t="shared" si="3"/>
        <v>Bank Withdrawl</v>
      </c>
      <c r="DR21" s="1" t="str">
        <f t="shared" si="4"/>
        <v>Bank Withdrawl</v>
      </c>
      <c r="EI21" s="1" t="str">
        <f t="shared" si="5"/>
        <v>Bank Withdrawl</v>
      </c>
      <c r="EZ21" s="1" t="str">
        <f t="shared" si="6"/>
        <v>Bank Withdrawl</v>
      </c>
      <c r="FQ21" s="1" t="str">
        <f t="shared" si="7"/>
        <v>Bank Withdrawl</v>
      </c>
      <c r="GH21" s="1" t="str">
        <f t="shared" si="8"/>
        <v>Bank Withdrawl</v>
      </c>
      <c r="GY21" s="1" t="str">
        <f t="shared" si="9"/>
        <v>Bank Withdrawl</v>
      </c>
      <c r="HP21" s="1" t="str">
        <f t="shared" si="10"/>
        <v>Bank Withdrawl</v>
      </c>
      <c r="IF21">
        <v>2011</v>
      </c>
      <c r="IG21" s="1" t="str">
        <f t="shared" si="11"/>
        <v>Bank Withdrawl</v>
      </c>
      <c r="IX21" s="1" t="str">
        <f t="shared" si="12"/>
        <v>Bank Withdrawl</v>
      </c>
      <c r="JN21">
        <v>2013</v>
      </c>
      <c r="JO21" s="1" t="str">
        <f t="shared" si="13"/>
        <v>Bank Withdrawl</v>
      </c>
      <c r="KF21" s="1" t="str">
        <f t="shared" si="14"/>
        <v>Bank Withdrawl</v>
      </c>
      <c r="KW21" s="1" t="str">
        <f t="shared" si="15"/>
        <v>Bank Withdrawl</v>
      </c>
    </row>
    <row r="22" spans="2:309" x14ac:dyDescent="0.25">
      <c r="B22">
        <v>2016</v>
      </c>
      <c r="C22" s="1" t="str">
        <f>'Expense Sheet'!B23</f>
        <v>Thread</v>
      </c>
      <c r="T22" s="1" t="str">
        <f t="shared" si="16"/>
        <v>Thread</v>
      </c>
      <c r="AJ22">
        <v>2018</v>
      </c>
      <c r="AK22" s="1" t="str">
        <f t="shared" si="17"/>
        <v>Thread</v>
      </c>
      <c r="BA22">
        <v>2019</v>
      </c>
      <c r="BB22" s="1" t="str">
        <f t="shared" si="0"/>
        <v>Thread</v>
      </c>
      <c r="BR22">
        <v>2020</v>
      </c>
      <c r="BS22" s="1" t="str">
        <f t="shared" si="1"/>
        <v>Thread</v>
      </c>
      <c r="CJ22" s="1" t="str">
        <f t="shared" si="2"/>
        <v>Thread</v>
      </c>
      <c r="DA22" s="1" t="str">
        <f t="shared" si="3"/>
        <v>Thread</v>
      </c>
      <c r="DR22" s="1" t="str">
        <f t="shared" si="4"/>
        <v>Thread</v>
      </c>
      <c r="EI22" s="1" t="str">
        <f t="shared" si="5"/>
        <v>Thread</v>
      </c>
      <c r="EZ22" s="1" t="str">
        <f t="shared" si="6"/>
        <v>Thread</v>
      </c>
      <c r="FQ22" s="1" t="str">
        <f t="shared" si="7"/>
        <v>Thread</v>
      </c>
      <c r="GH22" s="1" t="str">
        <f t="shared" si="8"/>
        <v>Thread</v>
      </c>
      <c r="GY22" s="1" t="str">
        <f t="shared" si="9"/>
        <v>Thread</v>
      </c>
      <c r="HP22" s="1" t="str">
        <f t="shared" si="10"/>
        <v>Thread</v>
      </c>
      <c r="IF22">
        <v>2011</v>
      </c>
      <c r="IG22" s="1" t="str">
        <f t="shared" si="11"/>
        <v>Thread</v>
      </c>
      <c r="IX22" s="1" t="str">
        <f t="shared" si="12"/>
        <v>Thread</v>
      </c>
      <c r="JN22">
        <v>2013</v>
      </c>
      <c r="JO22" s="1" t="str">
        <f t="shared" si="13"/>
        <v>Thread</v>
      </c>
      <c r="KF22" s="1" t="str">
        <f t="shared" si="14"/>
        <v>Thread</v>
      </c>
      <c r="KW22" s="1" t="str">
        <f t="shared" si="15"/>
        <v>Thread</v>
      </c>
    </row>
    <row r="23" spans="2:309" x14ac:dyDescent="0.25">
      <c r="B23">
        <v>2016</v>
      </c>
      <c r="C23" s="1" t="str">
        <f>'Expense Sheet'!B24</f>
        <v>Ironning</v>
      </c>
      <c r="T23" s="1" t="str">
        <f t="shared" si="16"/>
        <v>Ironning</v>
      </c>
      <c r="AJ23">
        <v>2018</v>
      </c>
      <c r="AK23" s="1" t="str">
        <f t="shared" si="17"/>
        <v>Ironning</v>
      </c>
      <c r="BA23">
        <v>2019</v>
      </c>
      <c r="BB23" s="1" t="str">
        <f t="shared" si="0"/>
        <v>Ironning</v>
      </c>
      <c r="BR23">
        <v>2020</v>
      </c>
      <c r="BS23" s="1" t="str">
        <f t="shared" si="1"/>
        <v>Ironning</v>
      </c>
      <c r="CJ23" s="1" t="str">
        <f t="shared" si="2"/>
        <v>Ironning</v>
      </c>
      <c r="DA23" s="1" t="str">
        <f t="shared" si="3"/>
        <v>Ironning</v>
      </c>
      <c r="DR23" s="1" t="str">
        <f t="shared" si="4"/>
        <v>Ironning</v>
      </c>
      <c r="EI23" s="1" t="str">
        <f t="shared" si="5"/>
        <v>Ironning</v>
      </c>
      <c r="EZ23" s="1" t="str">
        <f t="shared" si="6"/>
        <v>Ironning</v>
      </c>
      <c r="FQ23" s="1" t="str">
        <f t="shared" si="7"/>
        <v>Ironning</v>
      </c>
      <c r="GH23" s="1" t="str">
        <f t="shared" si="8"/>
        <v>Ironning</v>
      </c>
      <c r="GY23" s="1" t="str">
        <f t="shared" si="9"/>
        <v>Ironning</v>
      </c>
      <c r="HP23" s="1" t="str">
        <f t="shared" si="10"/>
        <v>Ironning</v>
      </c>
      <c r="IF23">
        <v>2011</v>
      </c>
      <c r="IG23" s="1" t="str">
        <f t="shared" si="11"/>
        <v>Ironning</v>
      </c>
      <c r="IX23" s="1" t="str">
        <f t="shared" si="12"/>
        <v>Ironning</v>
      </c>
      <c r="JN23">
        <v>2013</v>
      </c>
      <c r="JO23" s="1" t="str">
        <f t="shared" si="13"/>
        <v>Ironning</v>
      </c>
      <c r="KF23" s="1" t="str">
        <f t="shared" si="14"/>
        <v>Ironning</v>
      </c>
      <c r="KW23" s="1" t="str">
        <f t="shared" si="15"/>
        <v>Ironning</v>
      </c>
    </row>
    <row r="24" spans="2:309" x14ac:dyDescent="0.25">
      <c r="C24" t="str">
        <f>IF(ISBLANK('Expense Sheet'!B25)," ",'Expense Sheet'!B25)</f>
        <v xml:space="preserve"> </v>
      </c>
      <c r="T24" t="str">
        <f>C24</f>
        <v xml:space="preserve"> </v>
      </c>
      <c r="AK24" t="str">
        <f>T24</f>
        <v xml:space="preserve"> </v>
      </c>
      <c r="BB24" t="str">
        <f>AK24</f>
        <v xml:space="preserve"> </v>
      </c>
      <c r="BS24" t="str">
        <f>BB24</f>
        <v xml:space="preserve"> </v>
      </c>
      <c r="CJ24" t="str">
        <f>BS24</f>
        <v xml:space="preserve"> </v>
      </c>
      <c r="DA24" t="str">
        <f>CJ24</f>
        <v xml:space="preserve"> </v>
      </c>
      <c r="DR24" t="str">
        <f>DA24</f>
        <v xml:space="preserve"> </v>
      </c>
      <c r="EI24" t="str">
        <f>DR24</f>
        <v xml:space="preserve"> </v>
      </c>
      <c r="EZ24" t="str">
        <f>EI24</f>
        <v xml:space="preserve"> </v>
      </c>
      <c r="FQ24" t="str">
        <f>EZ24</f>
        <v xml:space="preserve"> </v>
      </c>
      <c r="GH24" t="str">
        <f>FQ24</f>
        <v xml:space="preserve"> </v>
      </c>
      <c r="GY24" t="str">
        <f>GH24</f>
        <v xml:space="preserve"> </v>
      </c>
      <c r="HP24" t="str">
        <f>GY24</f>
        <v xml:space="preserve"> </v>
      </c>
      <c r="IF24">
        <v>2011</v>
      </c>
      <c r="IG24" t="str">
        <f>HP24</f>
        <v xml:space="preserve"> </v>
      </c>
      <c r="IX24" t="str">
        <f>IG24</f>
        <v xml:space="preserve"> </v>
      </c>
      <c r="JO24" t="str">
        <f>IX24</f>
        <v xml:space="preserve"> </v>
      </c>
      <c r="KF24" t="str">
        <f>JO24</f>
        <v xml:space="preserve"> </v>
      </c>
      <c r="KW24" t="str">
        <f>KF24</f>
        <v xml:space="preserve"> </v>
      </c>
    </row>
    <row r="25" spans="2:309" x14ac:dyDescent="0.25">
      <c r="C25" t="str">
        <f>IF(ISBLANK('Expense Sheet'!B26)," ",'Expense Sheet'!B26)</f>
        <v xml:space="preserve"> </v>
      </c>
      <c r="T25" t="str">
        <f t="shared" ref="T25:T35" si="18">C25</f>
        <v xml:space="preserve"> </v>
      </c>
      <c r="AK25" t="str">
        <f t="shared" ref="AK25:AK35" si="19">T25</f>
        <v xml:space="preserve"> </v>
      </c>
      <c r="BB25" t="str">
        <f t="shared" ref="BB25:BB35" si="20">AK25</f>
        <v xml:space="preserve"> </v>
      </c>
      <c r="BS25" t="str">
        <f t="shared" ref="BS25:BS35" si="21">BB25</f>
        <v xml:space="preserve"> </v>
      </c>
      <c r="CJ25" t="str">
        <f t="shared" ref="CJ25:CJ35" si="22">BS25</f>
        <v xml:space="preserve"> </v>
      </c>
      <c r="DA25" t="str">
        <f t="shared" ref="DA25:DA35" si="23">CJ25</f>
        <v xml:space="preserve"> </v>
      </c>
      <c r="DR25" t="str">
        <f t="shared" ref="DR25:DR35" si="24">DA25</f>
        <v xml:space="preserve"> </v>
      </c>
      <c r="EI25" t="str">
        <f t="shared" ref="EI25:EI35" si="25">DR25</f>
        <v xml:space="preserve"> </v>
      </c>
      <c r="EZ25" t="str">
        <f t="shared" ref="EZ25:EZ35" si="26">EI25</f>
        <v xml:space="preserve"> </v>
      </c>
      <c r="FQ25" t="str">
        <f t="shared" ref="FQ25:FQ35" si="27">EZ25</f>
        <v xml:space="preserve"> </v>
      </c>
      <c r="GH25" t="str">
        <f t="shared" ref="GH25:GH35" si="28">FQ25</f>
        <v xml:space="preserve"> </v>
      </c>
      <c r="GY25" t="str">
        <f t="shared" ref="GY25:GY35" si="29">GH25</f>
        <v xml:space="preserve"> </v>
      </c>
      <c r="HP25" t="str">
        <f t="shared" ref="HP25:HP35" si="30">GY25</f>
        <v xml:space="preserve"> </v>
      </c>
      <c r="IF25">
        <v>2011</v>
      </c>
      <c r="IG25" t="str">
        <f t="shared" ref="IG25:IG35" si="31">HP25</f>
        <v xml:space="preserve"> </v>
      </c>
      <c r="IX25" t="str">
        <f t="shared" ref="IX25:IX35" si="32">IG25</f>
        <v xml:space="preserve"> </v>
      </c>
      <c r="JO25" t="str">
        <f t="shared" ref="JO25:JO35" si="33">IX25</f>
        <v xml:space="preserve"> </v>
      </c>
      <c r="KF25" t="str">
        <f t="shared" ref="KF25:KF35" si="34">JO25</f>
        <v xml:space="preserve"> </v>
      </c>
      <c r="KW25" t="str">
        <f t="shared" ref="KW25:KW35" si="35">KF25</f>
        <v xml:space="preserve"> </v>
      </c>
    </row>
    <row r="26" spans="2:309" x14ac:dyDescent="0.25">
      <c r="C26" t="str">
        <f>IF(ISBLANK('Expense Sheet'!B27)," ",'Expense Sheet'!B27)</f>
        <v xml:space="preserve"> </v>
      </c>
      <c r="T26" t="str">
        <f t="shared" si="18"/>
        <v xml:space="preserve"> </v>
      </c>
      <c r="AK26" t="str">
        <f t="shared" si="19"/>
        <v xml:space="preserve"> </v>
      </c>
      <c r="BB26" t="str">
        <f t="shared" si="20"/>
        <v xml:space="preserve"> </v>
      </c>
      <c r="BS26" t="str">
        <f t="shared" si="21"/>
        <v xml:space="preserve"> </v>
      </c>
      <c r="CJ26" t="str">
        <f t="shared" si="22"/>
        <v xml:space="preserve"> </v>
      </c>
      <c r="DA26" t="str">
        <f t="shared" si="23"/>
        <v xml:space="preserve"> </v>
      </c>
      <c r="DR26" t="str">
        <f t="shared" si="24"/>
        <v xml:space="preserve"> </v>
      </c>
      <c r="EI26" t="str">
        <f t="shared" si="25"/>
        <v xml:space="preserve"> </v>
      </c>
      <c r="EZ26" t="str">
        <f t="shared" si="26"/>
        <v xml:space="preserve"> </v>
      </c>
      <c r="FQ26" t="str">
        <f t="shared" si="27"/>
        <v xml:space="preserve"> </v>
      </c>
      <c r="GH26" t="str">
        <f t="shared" si="28"/>
        <v xml:space="preserve"> </v>
      </c>
      <c r="GY26" t="str">
        <f t="shared" si="29"/>
        <v xml:space="preserve"> </v>
      </c>
      <c r="HP26" t="str">
        <f t="shared" si="30"/>
        <v xml:space="preserve"> </v>
      </c>
      <c r="IG26" t="str">
        <f t="shared" si="31"/>
        <v xml:space="preserve"> </v>
      </c>
      <c r="IX26" t="str">
        <f t="shared" si="32"/>
        <v xml:space="preserve"> </v>
      </c>
      <c r="JO26" t="str">
        <f t="shared" si="33"/>
        <v xml:space="preserve"> </v>
      </c>
      <c r="KF26" t="str">
        <f t="shared" si="34"/>
        <v xml:space="preserve"> </v>
      </c>
      <c r="KW26" t="str">
        <f t="shared" si="35"/>
        <v xml:space="preserve"> </v>
      </c>
    </row>
    <row r="27" spans="2:309" x14ac:dyDescent="0.25">
      <c r="C27" t="str">
        <f>IF(ISBLANK('Expense Sheet'!B28)," ",'Expense Sheet'!B28)</f>
        <v xml:space="preserve"> </v>
      </c>
      <c r="T27" t="str">
        <f t="shared" si="18"/>
        <v xml:space="preserve"> </v>
      </c>
      <c r="AK27" t="str">
        <f t="shared" si="19"/>
        <v xml:space="preserve"> </v>
      </c>
      <c r="BB27" t="str">
        <f t="shared" si="20"/>
        <v xml:space="preserve"> </v>
      </c>
      <c r="BS27" t="str">
        <f t="shared" si="21"/>
        <v xml:space="preserve"> </v>
      </c>
      <c r="CJ27" t="str">
        <f t="shared" si="22"/>
        <v xml:space="preserve"> </v>
      </c>
      <c r="DA27" t="str">
        <f t="shared" si="23"/>
        <v xml:space="preserve"> </v>
      </c>
      <c r="DR27" t="str">
        <f t="shared" si="24"/>
        <v xml:space="preserve"> </v>
      </c>
      <c r="EI27" t="str">
        <f t="shared" si="25"/>
        <v xml:space="preserve"> </v>
      </c>
      <c r="EZ27" t="str">
        <f t="shared" si="26"/>
        <v xml:space="preserve"> </v>
      </c>
      <c r="FQ27" t="str">
        <f t="shared" si="27"/>
        <v xml:space="preserve"> </v>
      </c>
      <c r="GH27" t="str">
        <f t="shared" si="28"/>
        <v xml:space="preserve"> </v>
      </c>
      <c r="GY27" t="str">
        <f t="shared" si="29"/>
        <v xml:space="preserve"> </v>
      </c>
      <c r="HP27" t="str">
        <f t="shared" si="30"/>
        <v xml:space="preserve"> </v>
      </c>
      <c r="IG27" t="str">
        <f t="shared" si="31"/>
        <v xml:space="preserve"> </v>
      </c>
      <c r="IX27" t="str">
        <f t="shared" si="32"/>
        <v xml:space="preserve"> </v>
      </c>
      <c r="JO27" t="str">
        <f t="shared" si="33"/>
        <v xml:space="preserve"> </v>
      </c>
      <c r="KF27" t="str">
        <f t="shared" si="34"/>
        <v xml:space="preserve"> </v>
      </c>
      <c r="KW27" t="str">
        <f t="shared" si="35"/>
        <v xml:space="preserve"> </v>
      </c>
    </row>
    <row r="28" spans="2:309" x14ac:dyDescent="0.25">
      <c r="C28" t="str">
        <f>IF(ISBLANK('Expense Sheet'!B29)," ",'Expense Sheet'!B29)</f>
        <v xml:space="preserve"> </v>
      </c>
      <c r="T28" t="str">
        <f t="shared" si="18"/>
        <v xml:space="preserve"> </v>
      </c>
      <c r="AK28" t="str">
        <f t="shared" si="19"/>
        <v xml:space="preserve"> </v>
      </c>
      <c r="BB28" t="str">
        <f t="shared" si="20"/>
        <v xml:space="preserve"> </v>
      </c>
      <c r="BS28" t="str">
        <f t="shared" si="21"/>
        <v xml:space="preserve"> </v>
      </c>
      <c r="CJ28" t="str">
        <f t="shared" si="22"/>
        <v xml:space="preserve"> </v>
      </c>
      <c r="DA28" t="str">
        <f t="shared" si="23"/>
        <v xml:space="preserve"> </v>
      </c>
      <c r="DR28" t="str">
        <f t="shared" si="24"/>
        <v xml:space="preserve"> </v>
      </c>
      <c r="EI28" t="str">
        <f t="shared" si="25"/>
        <v xml:space="preserve"> </v>
      </c>
      <c r="EZ28" t="str">
        <f t="shared" si="26"/>
        <v xml:space="preserve"> </v>
      </c>
      <c r="FQ28" t="str">
        <f t="shared" si="27"/>
        <v xml:space="preserve"> </v>
      </c>
      <c r="GH28" t="str">
        <f t="shared" si="28"/>
        <v xml:space="preserve"> </v>
      </c>
      <c r="GY28" t="str">
        <f t="shared" si="29"/>
        <v xml:space="preserve"> </v>
      </c>
      <c r="HP28" t="str">
        <f t="shared" si="30"/>
        <v xml:space="preserve"> </v>
      </c>
      <c r="IG28" t="str">
        <f t="shared" si="31"/>
        <v xml:space="preserve"> </v>
      </c>
      <c r="IX28" t="str">
        <f t="shared" si="32"/>
        <v xml:space="preserve"> </v>
      </c>
      <c r="JO28" t="str">
        <f t="shared" si="33"/>
        <v xml:space="preserve"> </v>
      </c>
      <c r="KF28" t="str">
        <f t="shared" si="34"/>
        <v xml:space="preserve"> </v>
      </c>
      <c r="KW28" t="str">
        <f t="shared" si="35"/>
        <v xml:space="preserve"> </v>
      </c>
    </row>
    <row r="29" spans="2:309" x14ac:dyDescent="0.25">
      <c r="C29" t="str">
        <f>IF(ISBLANK('Expense Sheet'!B30)," ",'Expense Sheet'!B30)</f>
        <v xml:space="preserve"> </v>
      </c>
      <c r="T29" t="str">
        <f t="shared" si="18"/>
        <v xml:space="preserve"> </v>
      </c>
      <c r="AK29" t="str">
        <f t="shared" si="19"/>
        <v xml:space="preserve"> </v>
      </c>
      <c r="BB29" t="str">
        <f t="shared" si="20"/>
        <v xml:space="preserve"> </v>
      </c>
      <c r="BS29" t="str">
        <f t="shared" si="21"/>
        <v xml:space="preserve"> </v>
      </c>
      <c r="CJ29" t="str">
        <f t="shared" si="22"/>
        <v xml:space="preserve"> </v>
      </c>
      <c r="DA29" t="str">
        <f t="shared" si="23"/>
        <v xml:space="preserve"> </v>
      </c>
      <c r="DR29" t="str">
        <f t="shared" si="24"/>
        <v xml:space="preserve"> </v>
      </c>
      <c r="EI29" t="str">
        <f t="shared" si="25"/>
        <v xml:space="preserve"> </v>
      </c>
      <c r="EZ29" t="str">
        <f t="shared" si="26"/>
        <v xml:space="preserve"> </v>
      </c>
      <c r="FQ29" t="str">
        <f t="shared" si="27"/>
        <v xml:space="preserve"> </v>
      </c>
      <c r="GH29" t="str">
        <f t="shared" si="28"/>
        <v xml:space="preserve"> </v>
      </c>
      <c r="GY29" t="str">
        <f t="shared" si="29"/>
        <v xml:space="preserve"> </v>
      </c>
      <c r="HP29" t="str">
        <f t="shared" si="30"/>
        <v xml:space="preserve"> </v>
      </c>
      <c r="IG29" t="str">
        <f t="shared" si="31"/>
        <v xml:space="preserve"> </v>
      </c>
      <c r="IX29" t="str">
        <f t="shared" si="32"/>
        <v xml:space="preserve"> </v>
      </c>
      <c r="JO29" t="str">
        <f t="shared" si="33"/>
        <v xml:space="preserve"> </v>
      </c>
      <c r="KF29" t="str">
        <f t="shared" si="34"/>
        <v xml:space="preserve"> </v>
      </c>
      <c r="KW29" t="str">
        <f t="shared" si="35"/>
        <v xml:space="preserve"> </v>
      </c>
    </row>
    <row r="30" spans="2:309" x14ac:dyDescent="0.25">
      <c r="C30" t="str">
        <f>IF(ISBLANK('Expense Sheet'!B31)," ",'Expense Sheet'!B31)</f>
        <v xml:space="preserve"> </v>
      </c>
      <c r="T30" t="str">
        <f t="shared" si="18"/>
        <v xml:space="preserve"> </v>
      </c>
      <c r="AK30" t="str">
        <f t="shared" si="19"/>
        <v xml:space="preserve"> </v>
      </c>
      <c r="BB30" t="str">
        <f t="shared" si="20"/>
        <v xml:space="preserve"> </v>
      </c>
      <c r="BS30" t="str">
        <f t="shared" si="21"/>
        <v xml:space="preserve"> </v>
      </c>
      <c r="CJ30" t="str">
        <f t="shared" si="22"/>
        <v xml:space="preserve"> </v>
      </c>
      <c r="DA30" t="str">
        <f t="shared" si="23"/>
        <v xml:space="preserve"> </v>
      </c>
      <c r="DR30" t="str">
        <f t="shared" si="24"/>
        <v xml:space="preserve"> </v>
      </c>
      <c r="EI30" t="str">
        <f t="shared" si="25"/>
        <v xml:space="preserve"> </v>
      </c>
      <c r="EZ30" t="str">
        <f t="shared" si="26"/>
        <v xml:space="preserve"> </v>
      </c>
      <c r="FQ30" t="str">
        <f t="shared" si="27"/>
        <v xml:space="preserve"> </v>
      </c>
      <c r="GH30" t="str">
        <f t="shared" si="28"/>
        <v xml:space="preserve"> </v>
      </c>
      <c r="GY30" t="str">
        <f t="shared" si="29"/>
        <v xml:space="preserve"> </v>
      </c>
      <c r="HP30" t="str">
        <f t="shared" si="30"/>
        <v xml:space="preserve"> </v>
      </c>
      <c r="IG30" t="str">
        <f t="shared" si="31"/>
        <v xml:space="preserve"> </v>
      </c>
      <c r="IX30" t="str">
        <f t="shared" si="32"/>
        <v xml:space="preserve"> </v>
      </c>
      <c r="JO30" t="str">
        <f t="shared" si="33"/>
        <v xml:space="preserve"> </v>
      </c>
      <c r="KF30" t="str">
        <f t="shared" si="34"/>
        <v xml:space="preserve"> </v>
      </c>
      <c r="KW30" t="str">
        <f t="shared" si="35"/>
        <v xml:space="preserve"> </v>
      </c>
    </row>
    <row r="31" spans="2:309" x14ac:dyDescent="0.25">
      <c r="C31" t="str">
        <f>IF(ISBLANK('Expense Sheet'!B32)," ",'Expense Sheet'!B32)</f>
        <v xml:space="preserve"> </v>
      </c>
      <c r="T31" t="str">
        <f t="shared" si="18"/>
        <v xml:space="preserve"> </v>
      </c>
      <c r="AK31" t="str">
        <f t="shared" si="19"/>
        <v xml:space="preserve"> </v>
      </c>
      <c r="BB31" t="str">
        <f t="shared" si="20"/>
        <v xml:space="preserve"> </v>
      </c>
      <c r="BS31" t="str">
        <f t="shared" si="21"/>
        <v xml:space="preserve"> </v>
      </c>
      <c r="CJ31" t="str">
        <f t="shared" si="22"/>
        <v xml:space="preserve"> </v>
      </c>
      <c r="DA31" t="str">
        <f t="shared" si="23"/>
        <v xml:space="preserve"> </v>
      </c>
      <c r="DR31" t="str">
        <f t="shared" si="24"/>
        <v xml:space="preserve"> </v>
      </c>
      <c r="EI31" t="str">
        <f t="shared" si="25"/>
        <v xml:space="preserve"> </v>
      </c>
      <c r="EZ31" t="str">
        <f t="shared" si="26"/>
        <v xml:space="preserve"> </v>
      </c>
      <c r="FQ31" t="str">
        <f t="shared" si="27"/>
        <v xml:space="preserve"> </v>
      </c>
      <c r="GH31" t="str">
        <f t="shared" si="28"/>
        <v xml:space="preserve"> </v>
      </c>
      <c r="GY31" t="str">
        <f t="shared" si="29"/>
        <v xml:space="preserve"> </v>
      </c>
      <c r="HP31" t="str">
        <f t="shared" si="30"/>
        <v xml:space="preserve"> </v>
      </c>
      <c r="IG31" t="str">
        <f t="shared" si="31"/>
        <v xml:space="preserve"> </v>
      </c>
      <c r="IX31" t="str">
        <f t="shared" si="32"/>
        <v xml:space="preserve"> </v>
      </c>
      <c r="JO31" t="str">
        <f t="shared" si="33"/>
        <v xml:space="preserve"> </v>
      </c>
      <c r="KF31" t="str">
        <f t="shared" si="34"/>
        <v xml:space="preserve"> </v>
      </c>
      <c r="KW31" t="str">
        <f t="shared" si="35"/>
        <v xml:space="preserve"> </v>
      </c>
    </row>
    <row r="32" spans="2:309" x14ac:dyDescent="0.25">
      <c r="C32" t="str">
        <f>IF(ISBLANK('Expense Sheet'!B33)," ",'Expense Sheet'!B33)</f>
        <v xml:space="preserve"> </v>
      </c>
      <c r="T32" t="str">
        <f t="shared" si="18"/>
        <v xml:space="preserve"> </v>
      </c>
      <c r="AK32" t="str">
        <f t="shared" si="19"/>
        <v xml:space="preserve"> </v>
      </c>
      <c r="BB32" t="str">
        <f t="shared" si="20"/>
        <v xml:space="preserve"> </v>
      </c>
      <c r="BS32" t="str">
        <f t="shared" si="21"/>
        <v xml:space="preserve"> </v>
      </c>
      <c r="CJ32" t="str">
        <f t="shared" si="22"/>
        <v xml:space="preserve"> </v>
      </c>
      <c r="DA32" t="str">
        <f t="shared" si="23"/>
        <v xml:space="preserve"> </v>
      </c>
      <c r="DR32" t="str">
        <f t="shared" si="24"/>
        <v xml:space="preserve"> </v>
      </c>
      <c r="EI32" t="str">
        <f t="shared" si="25"/>
        <v xml:space="preserve"> </v>
      </c>
      <c r="EZ32" t="str">
        <f t="shared" si="26"/>
        <v xml:space="preserve"> </v>
      </c>
      <c r="FQ32" t="str">
        <f t="shared" si="27"/>
        <v xml:space="preserve"> </v>
      </c>
      <c r="GH32" t="str">
        <f t="shared" si="28"/>
        <v xml:space="preserve"> </v>
      </c>
      <c r="GY32" t="str">
        <f t="shared" si="29"/>
        <v xml:space="preserve"> </v>
      </c>
      <c r="HP32" t="str">
        <f t="shared" si="30"/>
        <v xml:space="preserve"> </v>
      </c>
      <c r="IG32" t="str">
        <f t="shared" si="31"/>
        <v xml:space="preserve"> </v>
      </c>
      <c r="IX32" t="str">
        <f t="shared" si="32"/>
        <v xml:space="preserve"> </v>
      </c>
      <c r="JO32" t="str">
        <f t="shared" si="33"/>
        <v xml:space="preserve"> </v>
      </c>
      <c r="KF32" t="str">
        <f t="shared" si="34"/>
        <v xml:space="preserve"> </v>
      </c>
      <c r="KW32" t="str">
        <f t="shared" si="35"/>
        <v xml:space="preserve"> </v>
      </c>
    </row>
    <row r="33" spans="3:309" x14ac:dyDescent="0.25">
      <c r="C33" t="str">
        <f>IF(ISBLANK('Expense Sheet'!B34)," ",'Expense Sheet'!B34)</f>
        <v xml:space="preserve"> </v>
      </c>
      <c r="T33" t="str">
        <f t="shared" si="18"/>
        <v xml:space="preserve"> </v>
      </c>
      <c r="AK33" t="str">
        <f t="shared" si="19"/>
        <v xml:space="preserve"> </v>
      </c>
      <c r="BB33" t="str">
        <f t="shared" si="20"/>
        <v xml:space="preserve"> </v>
      </c>
      <c r="BS33" t="str">
        <f t="shared" si="21"/>
        <v xml:space="preserve"> </v>
      </c>
      <c r="CJ33" t="str">
        <f t="shared" si="22"/>
        <v xml:space="preserve"> </v>
      </c>
      <c r="DA33" t="str">
        <f t="shared" si="23"/>
        <v xml:space="preserve"> </v>
      </c>
      <c r="DR33" t="str">
        <f t="shared" si="24"/>
        <v xml:space="preserve"> </v>
      </c>
      <c r="EI33" t="str">
        <f t="shared" si="25"/>
        <v xml:space="preserve"> </v>
      </c>
      <c r="EZ33" t="str">
        <f t="shared" si="26"/>
        <v xml:space="preserve"> </v>
      </c>
      <c r="FQ33" t="str">
        <f t="shared" si="27"/>
        <v xml:space="preserve"> </v>
      </c>
      <c r="GH33" t="str">
        <f t="shared" si="28"/>
        <v xml:space="preserve"> </v>
      </c>
      <c r="GY33" t="str">
        <f t="shared" si="29"/>
        <v xml:space="preserve"> </v>
      </c>
      <c r="HP33" t="str">
        <f t="shared" si="30"/>
        <v xml:space="preserve"> </v>
      </c>
      <c r="IG33" t="str">
        <f t="shared" si="31"/>
        <v xml:space="preserve"> </v>
      </c>
      <c r="IX33" t="str">
        <f t="shared" si="32"/>
        <v xml:space="preserve"> </v>
      </c>
      <c r="JO33" t="str">
        <f t="shared" si="33"/>
        <v xml:space="preserve"> </v>
      </c>
      <c r="KF33" t="str">
        <f t="shared" si="34"/>
        <v xml:space="preserve"> </v>
      </c>
      <c r="KW33" t="str">
        <f t="shared" si="35"/>
        <v xml:space="preserve"> </v>
      </c>
    </row>
    <row r="34" spans="3:309" x14ac:dyDescent="0.25">
      <c r="C34" t="str">
        <f>IF(ISBLANK('Expense Sheet'!B35)," ",'Expense Sheet'!B35)</f>
        <v xml:space="preserve"> </v>
      </c>
      <c r="T34" t="str">
        <f t="shared" si="18"/>
        <v xml:space="preserve"> </v>
      </c>
      <c r="AK34" t="str">
        <f t="shared" si="19"/>
        <v xml:space="preserve"> </v>
      </c>
      <c r="BB34" t="str">
        <f t="shared" si="20"/>
        <v xml:space="preserve"> </v>
      </c>
      <c r="BS34" t="str">
        <f t="shared" si="21"/>
        <v xml:space="preserve"> </v>
      </c>
      <c r="CJ34" t="str">
        <f t="shared" si="22"/>
        <v xml:space="preserve"> </v>
      </c>
      <c r="DA34" t="str">
        <f t="shared" si="23"/>
        <v xml:space="preserve"> </v>
      </c>
      <c r="DR34" t="str">
        <f t="shared" si="24"/>
        <v xml:space="preserve"> </v>
      </c>
      <c r="EI34" t="str">
        <f t="shared" si="25"/>
        <v xml:space="preserve"> </v>
      </c>
      <c r="EZ34" t="str">
        <f t="shared" si="26"/>
        <v xml:space="preserve"> </v>
      </c>
      <c r="FQ34" t="str">
        <f t="shared" si="27"/>
        <v xml:space="preserve"> </v>
      </c>
      <c r="GH34" t="str">
        <f t="shared" si="28"/>
        <v xml:space="preserve"> </v>
      </c>
      <c r="GY34" t="str">
        <f t="shared" si="29"/>
        <v xml:space="preserve"> </v>
      </c>
      <c r="HP34" t="str">
        <f t="shared" si="30"/>
        <v xml:space="preserve"> </v>
      </c>
      <c r="IG34" t="str">
        <f t="shared" si="31"/>
        <v xml:space="preserve"> </v>
      </c>
      <c r="IX34" t="str">
        <f t="shared" si="32"/>
        <v xml:space="preserve"> </v>
      </c>
      <c r="JO34" t="str">
        <f t="shared" si="33"/>
        <v xml:space="preserve"> </v>
      </c>
      <c r="KF34" t="str">
        <f t="shared" si="34"/>
        <v xml:space="preserve"> </v>
      </c>
      <c r="KW34" t="str">
        <f t="shared" si="35"/>
        <v xml:space="preserve"> </v>
      </c>
    </row>
    <row r="35" spans="3:309" x14ac:dyDescent="0.25">
      <c r="C35" t="str">
        <f>IF(ISBLANK('Expense Sheet'!B36)," ",'Expense Sheet'!B36)</f>
        <v xml:space="preserve"> </v>
      </c>
      <c r="T35" t="str">
        <f t="shared" si="18"/>
        <v xml:space="preserve"> </v>
      </c>
      <c r="AK35" t="str">
        <f t="shared" si="19"/>
        <v xml:space="preserve"> </v>
      </c>
      <c r="BB35" t="str">
        <f t="shared" si="20"/>
        <v xml:space="preserve"> </v>
      </c>
      <c r="BS35" t="str">
        <f t="shared" si="21"/>
        <v xml:space="preserve"> </v>
      </c>
      <c r="CJ35" t="str">
        <f t="shared" si="22"/>
        <v xml:space="preserve"> </v>
      </c>
      <c r="DA35" t="str">
        <f t="shared" si="23"/>
        <v xml:space="preserve"> </v>
      </c>
      <c r="DR35" t="str">
        <f t="shared" si="24"/>
        <v xml:space="preserve"> </v>
      </c>
      <c r="EI35" t="str">
        <f t="shared" si="25"/>
        <v xml:space="preserve"> </v>
      </c>
      <c r="EZ35" t="str">
        <f t="shared" si="26"/>
        <v xml:space="preserve"> </v>
      </c>
      <c r="FQ35" t="str">
        <f t="shared" si="27"/>
        <v xml:space="preserve"> </v>
      </c>
      <c r="GH35" t="str">
        <f t="shared" si="28"/>
        <v xml:space="preserve"> </v>
      </c>
      <c r="GY35" t="str">
        <f t="shared" si="29"/>
        <v xml:space="preserve"> </v>
      </c>
      <c r="HP35" t="str">
        <f t="shared" si="30"/>
        <v xml:space="preserve"> </v>
      </c>
      <c r="IG35" t="str">
        <f t="shared" si="31"/>
        <v xml:space="preserve"> </v>
      </c>
      <c r="IX35" t="str">
        <f t="shared" si="32"/>
        <v xml:space="preserve"> </v>
      </c>
      <c r="JO35" t="str">
        <f t="shared" si="33"/>
        <v xml:space="preserve"> </v>
      </c>
      <c r="KF35" t="str">
        <f t="shared" si="34"/>
        <v xml:space="preserve"> </v>
      </c>
      <c r="KW35" t="str">
        <f t="shared" si="35"/>
        <v xml:space="preserve"> </v>
      </c>
    </row>
    <row r="57" spans="1:321" x14ac:dyDescent="0.25">
      <c r="A57" t="s">
        <v>34</v>
      </c>
      <c r="D57">
        <f>SUM(D5:D56)</f>
        <v>0</v>
      </c>
      <c r="E57">
        <f t="shared" ref="E57:O57" si="36">SUM(E5:E56)</f>
        <v>0</v>
      </c>
      <c r="F57">
        <f t="shared" si="36"/>
        <v>0</v>
      </c>
      <c r="G57">
        <f t="shared" si="36"/>
        <v>0</v>
      </c>
      <c r="H57">
        <f t="shared" si="36"/>
        <v>0</v>
      </c>
      <c r="I57">
        <f t="shared" si="36"/>
        <v>0</v>
      </c>
      <c r="J57">
        <f t="shared" si="36"/>
        <v>0</v>
      </c>
      <c r="K57">
        <f t="shared" si="36"/>
        <v>0</v>
      </c>
      <c r="L57">
        <f t="shared" si="36"/>
        <v>0</v>
      </c>
      <c r="M57">
        <f t="shared" si="36"/>
        <v>0</v>
      </c>
      <c r="N57">
        <f t="shared" si="36"/>
        <v>0</v>
      </c>
      <c r="O57">
        <f t="shared" si="36"/>
        <v>0</v>
      </c>
      <c r="R57" t="s">
        <v>34</v>
      </c>
      <c r="U57">
        <f t="shared" ref="U57:AF57" si="37">SUM(U5:U56)</f>
        <v>0</v>
      </c>
      <c r="V57">
        <f t="shared" si="37"/>
        <v>0</v>
      </c>
      <c r="W57">
        <f t="shared" si="37"/>
        <v>0</v>
      </c>
      <c r="X57">
        <f t="shared" si="37"/>
        <v>0</v>
      </c>
      <c r="Y57">
        <f t="shared" si="37"/>
        <v>0</v>
      </c>
      <c r="Z57">
        <f t="shared" si="37"/>
        <v>0</v>
      </c>
      <c r="AA57">
        <f t="shared" si="37"/>
        <v>0</v>
      </c>
      <c r="AB57">
        <f t="shared" si="37"/>
        <v>0</v>
      </c>
      <c r="AC57">
        <f t="shared" si="37"/>
        <v>0</v>
      </c>
      <c r="AD57">
        <f t="shared" si="37"/>
        <v>0</v>
      </c>
      <c r="AE57">
        <f t="shared" si="37"/>
        <v>0</v>
      </c>
      <c r="AF57">
        <f t="shared" si="37"/>
        <v>0</v>
      </c>
      <c r="AI57" t="s">
        <v>34</v>
      </c>
      <c r="AL57">
        <f t="shared" ref="AL57:AW57" si="38">SUM(AL5:AL56)</f>
        <v>0</v>
      </c>
      <c r="AM57">
        <f t="shared" si="38"/>
        <v>0</v>
      </c>
      <c r="AN57">
        <f t="shared" si="38"/>
        <v>0</v>
      </c>
      <c r="AO57">
        <f t="shared" si="38"/>
        <v>0</v>
      </c>
      <c r="AP57">
        <f t="shared" si="38"/>
        <v>0</v>
      </c>
      <c r="AQ57">
        <f t="shared" si="38"/>
        <v>0</v>
      </c>
      <c r="AR57">
        <f t="shared" si="38"/>
        <v>0</v>
      </c>
      <c r="AS57">
        <f t="shared" si="38"/>
        <v>0</v>
      </c>
      <c r="AT57">
        <f t="shared" si="38"/>
        <v>0</v>
      </c>
      <c r="AU57">
        <f t="shared" si="38"/>
        <v>0</v>
      </c>
      <c r="AV57">
        <f t="shared" si="38"/>
        <v>0</v>
      </c>
      <c r="AW57">
        <f t="shared" si="38"/>
        <v>0</v>
      </c>
      <c r="AZ57" t="s">
        <v>34</v>
      </c>
      <c r="BC57">
        <f t="shared" ref="BC57:BN57" si="39">SUM(BC5:BC56)</f>
        <v>0</v>
      </c>
      <c r="BD57">
        <f t="shared" si="39"/>
        <v>0</v>
      </c>
      <c r="BE57">
        <f t="shared" si="39"/>
        <v>0</v>
      </c>
      <c r="BF57">
        <f t="shared" si="39"/>
        <v>0</v>
      </c>
      <c r="BG57">
        <f t="shared" si="39"/>
        <v>0</v>
      </c>
      <c r="BH57">
        <f t="shared" si="39"/>
        <v>0</v>
      </c>
      <c r="BI57">
        <f t="shared" si="39"/>
        <v>0</v>
      </c>
      <c r="BJ57">
        <f t="shared" si="39"/>
        <v>0</v>
      </c>
      <c r="BK57">
        <f t="shared" si="39"/>
        <v>0</v>
      </c>
      <c r="BL57">
        <f t="shared" si="39"/>
        <v>0</v>
      </c>
      <c r="BM57">
        <f t="shared" si="39"/>
        <v>0</v>
      </c>
      <c r="BN57">
        <f t="shared" si="39"/>
        <v>0</v>
      </c>
      <c r="BQ57" t="s">
        <v>34</v>
      </c>
      <c r="BT57">
        <f t="shared" ref="BT57:CE57" si="40">SUM(BT5:BT56)</f>
        <v>0</v>
      </c>
      <c r="BU57">
        <f t="shared" si="40"/>
        <v>0</v>
      </c>
      <c r="BV57">
        <f t="shared" si="40"/>
        <v>0</v>
      </c>
      <c r="BW57">
        <f t="shared" si="40"/>
        <v>0</v>
      </c>
      <c r="BX57">
        <f t="shared" si="40"/>
        <v>0</v>
      </c>
      <c r="BY57">
        <f t="shared" si="40"/>
        <v>0</v>
      </c>
      <c r="BZ57">
        <f t="shared" si="40"/>
        <v>0</v>
      </c>
      <c r="CA57">
        <f t="shared" si="40"/>
        <v>0</v>
      </c>
      <c r="CB57">
        <f t="shared" si="40"/>
        <v>0</v>
      </c>
      <c r="CC57">
        <f t="shared" si="40"/>
        <v>0</v>
      </c>
      <c r="CD57">
        <f t="shared" si="40"/>
        <v>0</v>
      </c>
      <c r="CE57">
        <f t="shared" si="40"/>
        <v>0</v>
      </c>
      <c r="CH57" t="s">
        <v>34</v>
      </c>
      <c r="CK57">
        <f t="shared" ref="CK57:CV57" si="41">SUM(CK5:CK56)</f>
        <v>0</v>
      </c>
      <c r="CL57">
        <f t="shared" si="41"/>
        <v>0</v>
      </c>
      <c r="CM57">
        <f t="shared" si="41"/>
        <v>0</v>
      </c>
      <c r="CN57">
        <f t="shared" si="41"/>
        <v>0</v>
      </c>
      <c r="CO57">
        <f t="shared" si="41"/>
        <v>0</v>
      </c>
      <c r="CP57">
        <f t="shared" si="41"/>
        <v>0</v>
      </c>
      <c r="CQ57">
        <f t="shared" si="41"/>
        <v>0</v>
      </c>
      <c r="CR57">
        <f t="shared" si="41"/>
        <v>0</v>
      </c>
      <c r="CS57">
        <f t="shared" si="41"/>
        <v>0</v>
      </c>
      <c r="CT57">
        <f t="shared" si="41"/>
        <v>0</v>
      </c>
      <c r="CU57">
        <f t="shared" si="41"/>
        <v>0</v>
      </c>
      <c r="CV57">
        <f t="shared" si="41"/>
        <v>0</v>
      </c>
      <c r="CY57" t="s">
        <v>34</v>
      </c>
      <c r="DB57">
        <f t="shared" ref="DB57:DM57" si="42">SUM(DB5:DB56)</f>
        <v>0</v>
      </c>
      <c r="DC57">
        <f t="shared" si="42"/>
        <v>0</v>
      </c>
      <c r="DD57">
        <f t="shared" si="42"/>
        <v>0</v>
      </c>
      <c r="DE57">
        <f t="shared" si="42"/>
        <v>0</v>
      </c>
      <c r="DF57">
        <f t="shared" si="42"/>
        <v>0</v>
      </c>
      <c r="DG57">
        <f t="shared" si="42"/>
        <v>0</v>
      </c>
      <c r="DH57">
        <f t="shared" si="42"/>
        <v>0</v>
      </c>
      <c r="DI57">
        <f t="shared" si="42"/>
        <v>0</v>
      </c>
      <c r="DJ57">
        <f t="shared" si="42"/>
        <v>0</v>
      </c>
      <c r="DK57">
        <f t="shared" si="42"/>
        <v>0</v>
      </c>
      <c r="DL57">
        <f t="shared" si="42"/>
        <v>0</v>
      </c>
      <c r="DM57">
        <f t="shared" si="42"/>
        <v>0</v>
      </c>
      <c r="DP57" t="s">
        <v>34</v>
      </c>
      <c r="DS57">
        <f t="shared" ref="DS57:ED57" si="43">SUM(DS5:DS56)</f>
        <v>0</v>
      </c>
      <c r="DT57">
        <f t="shared" si="43"/>
        <v>0</v>
      </c>
      <c r="DU57">
        <f t="shared" si="43"/>
        <v>0</v>
      </c>
      <c r="DV57">
        <f t="shared" si="43"/>
        <v>0</v>
      </c>
      <c r="DW57">
        <f t="shared" si="43"/>
        <v>0</v>
      </c>
      <c r="DX57">
        <f t="shared" si="43"/>
        <v>0</v>
      </c>
      <c r="DY57">
        <f t="shared" si="43"/>
        <v>0</v>
      </c>
      <c r="DZ57">
        <f t="shared" si="43"/>
        <v>0</v>
      </c>
      <c r="EA57">
        <f t="shared" si="43"/>
        <v>0</v>
      </c>
      <c r="EB57">
        <f t="shared" si="43"/>
        <v>0</v>
      </c>
      <c r="EC57">
        <f t="shared" si="43"/>
        <v>0</v>
      </c>
      <c r="ED57">
        <f t="shared" si="43"/>
        <v>0</v>
      </c>
      <c r="EG57" t="s">
        <v>34</v>
      </c>
      <c r="EJ57">
        <f t="shared" ref="EJ57:EU57" si="44">SUM(EJ5:EJ56)</f>
        <v>0</v>
      </c>
      <c r="EK57">
        <f t="shared" si="44"/>
        <v>0</v>
      </c>
      <c r="EL57">
        <f t="shared" si="44"/>
        <v>0</v>
      </c>
      <c r="EM57">
        <f t="shared" si="44"/>
        <v>0</v>
      </c>
      <c r="EN57">
        <f t="shared" si="44"/>
        <v>0</v>
      </c>
      <c r="EO57">
        <f t="shared" si="44"/>
        <v>0</v>
      </c>
      <c r="EP57">
        <f t="shared" si="44"/>
        <v>0</v>
      </c>
      <c r="EQ57">
        <f t="shared" si="44"/>
        <v>0</v>
      </c>
      <c r="ER57">
        <f t="shared" si="44"/>
        <v>0</v>
      </c>
      <c r="ES57">
        <f t="shared" si="44"/>
        <v>0</v>
      </c>
      <c r="ET57">
        <f t="shared" si="44"/>
        <v>0</v>
      </c>
      <c r="EU57">
        <f t="shared" si="44"/>
        <v>0</v>
      </c>
      <c r="EX57" t="s">
        <v>34</v>
      </c>
      <c r="FA57">
        <f t="shared" ref="FA57:FL57" si="45">SUM(FA5:FA56)</f>
        <v>0</v>
      </c>
      <c r="FB57">
        <f t="shared" si="45"/>
        <v>0</v>
      </c>
      <c r="FC57">
        <f t="shared" si="45"/>
        <v>0</v>
      </c>
      <c r="FD57">
        <f t="shared" si="45"/>
        <v>0</v>
      </c>
      <c r="FE57">
        <f t="shared" si="45"/>
        <v>0</v>
      </c>
      <c r="FF57">
        <f t="shared" si="45"/>
        <v>0</v>
      </c>
      <c r="FG57">
        <f t="shared" si="45"/>
        <v>0</v>
      </c>
      <c r="FH57">
        <f t="shared" si="45"/>
        <v>0</v>
      </c>
      <c r="FI57">
        <f t="shared" si="45"/>
        <v>0</v>
      </c>
      <c r="FJ57">
        <f t="shared" si="45"/>
        <v>0</v>
      </c>
      <c r="FK57">
        <f t="shared" si="45"/>
        <v>0</v>
      </c>
      <c r="FL57">
        <f t="shared" si="45"/>
        <v>0</v>
      </c>
      <c r="FO57" t="s">
        <v>34</v>
      </c>
      <c r="FR57">
        <f t="shared" ref="FR57:GC57" si="46">SUM(FR5:FR56)</f>
        <v>0</v>
      </c>
      <c r="FS57">
        <f t="shared" si="46"/>
        <v>0</v>
      </c>
      <c r="FT57">
        <f t="shared" si="46"/>
        <v>0</v>
      </c>
      <c r="FU57">
        <f t="shared" si="46"/>
        <v>0</v>
      </c>
      <c r="FV57">
        <f t="shared" si="46"/>
        <v>0</v>
      </c>
      <c r="FW57">
        <f t="shared" si="46"/>
        <v>0</v>
      </c>
      <c r="FX57">
        <f t="shared" si="46"/>
        <v>0</v>
      </c>
      <c r="FY57">
        <f t="shared" si="46"/>
        <v>0</v>
      </c>
      <c r="FZ57">
        <f t="shared" si="46"/>
        <v>0</v>
      </c>
      <c r="GA57">
        <f t="shared" si="46"/>
        <v>0</v>
      </c>
      <c r="GB57">
        <f t="shared" si="46"/>
        <v>0</v>
      </c>
      <c r="GC57">
        <f t="shared" si="46"/>
        <v>0</v>
      </c>
      <c r="GF57" t="s">
        <v>34</v>
      </c>
      <c r="GI57">
        <f t="shared" ref="GI57:GT57" si="47">SUM(GI5:GI56)</f>
        <v>0</v>
      </c>
      <c r="GJ57">
        <f t="shared" si="47"/>
        <v>0</v>
      </c>
      <c r="GK57">
        <f t="shared" si="47"/>
        <v>0</v>
      </c>
      <c r="GL57">
        <f t="shared" si="47"/>
        <v>0</v>
      </c>
      <c r="GM57">
        <f t="shared" si="47"/>
        <v>0</v>
      </c>
      <c r="GN57">
        <f t="shared" si="47"/>
        <v>0</v>
      </c>
      <c r="GO57">
        <f t="shared" si="47"/>
        <v>0</v>
      </c>
      <c r="GP57">
        <f t="shared" si="47"/>
        <v>0</v>
      </c>
      <c r="GQ57">
        <f t="shared" si="47"/>
        <v>0</v>
      </c>
      <c r="GR57">
        <f t="shared" si="47"/>
        <v>0</v>
      </c>
      <c r="GS57">
        <f t="shared" si="47"/>
        <v>0</v>
      </c>
      <c r="GT57">
        <f t="shared" si="47"/>
        <v>0</v>
      </c>
      <c r="GW57" t="s">
        <v>34</v>
      </c>
      <c r="GZ57">
        <f t="shared" ref="GZ57:HK57" si="48">SUM(GZ5:GZ56)</f>
        <v>0</v>
      </c>
      <c r="HA57">
        <f t="shared" si="48"/>
        <v>0</v>
      </c>
      <c r="HB57">
        <f t="shared" si="48"/>
        <v>0</v>
      </c>
      <c r="HC57">
        <f t="shared" si="48"/>
        <v>0</v>
      </c>
      <c r="HD57">
        <f t="shared" si="48"/>
        <v>0</v>
      </c>
      <c r="HE57">
        <f t="shared" si="48"/>
        <v>0</v>
      </c>
      <c r="HF57">
        <f t="shared" si="48"/>
        <v>0</v>
      </c>
      <c r="HG57">
        <f t="shared" si="48"/>
        <v>0</v>
      </c>
      <c r="HH57">
        <f t="shared" si="48"/>
        <v>0</v>
      </c>
      <c r="HI57">
        <f t="shared" si="48"/>
        <v>0</v>
      </c>
      <c r="HJ57">
        <f t="shared" si="48"/>
        <v>0</v>
      </c>
      <c r="HK57">
        <f t="shared" si="48"/>
        <v>0</v>
      </c>
      <c r="HN57" t="s">
        <v>34</v>
      </c>
      <c r="HQ57">
        <f t="shared" ref="HQ57:IB57" si="49">SUM(HQ5:HQ56)</f>
        <v>0</v>
      </c>
      <c r="HR57">
        <f t="shared" si="49"/>
        <v>0</v>
      </c>
      <c r="HS57">
        <f t="shared" si="49"/>
        <v>0</v>
      </c>
      <c r="HT57">
        <f t="shared" si="49"/>
        <v>0</v>
      </c>
      <c r="HU57">
        <f t="shared" si="49"/>
        <v>0</v>
      </c>
      <c r="HV57">
        <f t="shared" si="49"/>
        <v>0</v>
      </c>
      <c r="HW57">
        <f t="shared" si="49"/>
        <v>0</v>
      </c>
      <c r="HX57">
        <f t="shared" si="49"/>
        <v>0</v>
      </c>
      <c r="HY57">
        <f t="shared" si="49"/>
        <v>0</v>
      </c>
      <c r="HZ57">
        <f t="shared" si="49"/>
        <v>0</v>
      </c>
      <c r="IA57">
        <f t="shared" si="49"/>
        <v>0</v>
      </c>
      <c r="IB57">
        <f t="shared" si="49"/>
        <v>0</v>
      </c>
      <c r="IE57" t="s">
        <v>34</v>
      </c>
      <c r="IH57">
        <f t="shared" ref="IH57:IS57" si="50">SUM(IH5:IH56)</f>
        <v>0</v>
      </c>
      <c r="II57">
        <f t="shared" si="50"/>
        <v>0</v>
      </c>
      <c r="IJ57">
        <f t="shared" si="50"/>
        <v>0</v>
      </c>
      <c r="IK57">
        <f t="shared" si="50"/>
        <v>0</v>
      </c>
      <c r="IL57">
        <f t="shared" si="50"/>
        <v>0</v>
      </c>
      <c r="IM57">
        <f t="shared" si="50"/>
        <v>0</v>
      </c>
      <c r="IN57">
        <f t="shared" si="50"/>
        <v>0</v>
      </c>
      <c r="IO57">
        <f t="shared" si="50"/>
        <v>0</v>
      </c>
      <c r="IP57">
        <f t="shared" si="50"/>
        <v>0</v>
      </c>
      <c r="IQ57">
        <f t="shared" si="50"/>
        <v>0</v>
      </c>
      <c r="IR57">
        <f t="shared" si="50"/>
        <v>0</v>
      </c>
      <c r="IS57">
        <f t="shared" si="50"/>
        <v>0</v>
      </c>
      <c r="IV57" t="s">
        <v>34</v>
      </c>
      <c r="IY57">
        <f t="shared" ref="IY57:JJ57" si="51">SUM(IY5:IY56)</f>
        <v>0</v>
      </c>
      <c r="IZ57">
        <f t="shared" si="51"/>
        <v>0</v>
      </c>
      <c r="JA57">
        <f t="shared" si="51"/>
        <v>0</v>
      </c>
      <c r="JB57">
        <f t="shared" si="51"/>
        <v>0</v>
      </c>
      <c r="JC57">
        <f t="shared" si="51"/>
        <v>0</v>
      </c>
      <c r="JD57">
        <f t="shared" si="51"/>
        <v>0</v>
      </c>
      <c r="JE57">
        <f t="shared" si="51"/>
        <v>0</v>
      </c>
      <c r="JF57">
        <f t="shared" si="51"/>
        <v>0</v>
      </c>
      <c r="JG57">
        <f t="shared" si="51"/>
        <v>0</v>
      </c>
      <c r="JH57">
        <f t="shared" si="51"/>
        <v>0</v>
      </c>
      <c r="JI57">
        <f t="shared" si="51"/>
        <v>0</v>
      </c>
      <c r="JJ57">
        <f t="shared" si="51"/>
        <v>0</v>
      </c>
      <c r="JM57" t="s">
        <v>34</v>
      </c>
      <c r="JP57">
        <f t="shared" ref="JP57:KA57" si="52">SUM(JP5:JP56)</f>
        <v>0</v>
      </c>
      <c r="JQ57">
        <f t="shared" si="52"/>
        <v>0</v>
      </c>
      <c r="JR57">
        <f t="shared" si="52"/>
        <v>0</v>
      </c>
      <c r="JS57">
        <f t="shared" si="52"/>
        <v>0</v>
      </c>
      <c r="JT57">
        <f t="shared" si="52"/>
        <v>0</v>
      </c>
      <c r="JU57">
        <f t="shared" si="52"/>
        <v>0</v>
      </c>
      <c r="JV57">
        <f t="shared" si="52"/>
        <v>0</v>
      </c>
      <c r="JW57">
        <f t="shared" si="52"/>
        <v>0</v>
      </c>
      <c r="JX57">
        <f t="shared" si="52"/>
        <v>0</v>
      </c>
      <c r="JY57">
        <f t="shared" si="52"/>
        <v>0</v>
      </c>
      <c r="JZ57">
        <f t="shared" si="52"/>
        <v>0</v>
      </c>
      <c r="KA57">
        <f t="shared" si="52"/>
        <v>0</v>
      </c>
      <c r="KD57" t="s">
        <v>34</v>
      </c>
      <c r="KG57">
        <f t="shared" ref="KG57:KR57" si="53">SUM(KG5:KG56)</f>
        <v>0</v>
      </c>
      <c r="KH57">
        <f t="shared" si="53"/>
        <v>0</v>
      </c>
      <c r="KI57">
        <f t="shared" si="53"/>
        <v>0</v>
      </c>
      <c r="KJ57">
        <f t="shared" si="53"/>
        <v>0</v>
      </c>
      <c r="KK57">
        <f t="shared" si="53"/>
        <v>0</v>
      </c>
      <c r="KL57">
        <f t="shared" si="53"/>
        <v>0</v>
      </c>
      <c r="KM57">
        <f t="shared" si="53"/>
        <v>0</v>
      </c>
      <c r="KN57">
        <f t="shared" si="53"/>
        <v>0</v>
      </c>
      <c r="KO57">
        <f t="shared" si="53"/>
        <v>0</v>
      </c>
      <c r="KP57">
        <f t="shared" si="53"/>
        <v>0</v>
      </c>
      <c r="KQ57">
        <f t="shared" si="53"/>
        <v>0</v>
      </c>
      <c r="KR57">
        <f t="shared" si="53"/>
        <v>0</v>
      </c>
      <c r="KU57" t="s">
        <v>34</v>
      </c>
      <c r="KX57">
        <f t="shared" ref="KX57:LI57" si="54">SUM(KX5:KX56)</f>
        <v>0</v>
      </c>
      <c r="KY57">
        <f t="shared" si="54"/>
        <v>0</v>
      </c>
      <c r="KZ57">
        <f t="shared" si="54"/>
        <v>0</v>
      </c>
      <c r="LA57">
        <f t="shared" si="54"/>
        <v>0</v>
      </c>
      <c r="LB57">
        <f t="shared" si="54"/>
        <v>0</v>
      </c>
      <c r="LC57">
        <f t="shared" si="54"/>
        <v>0</v>
      </c>
      <c r="LD57">
        <f t="shared" si="54"/>
        <v>0</v>
      </c>
      <c r="LE57">
        <f t="shared" si="54"/>
        <v>0</v>
      </c>
      <c r="LF57">
        <f t="shared" si="54"/>
        <v>0</v>
      </c>
      <c r="LG57">
        <f t="shared" si="54"/>
        <v>0</v>
      </c>
      <c r="LH57">
        <f t="shared" si="54"/>
        <v>0</v>
      </c>
      <c r="LI57">
        <f t="shared" si="54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showGridLines="0" workbookViewId="0">
      <selection activeCell="A5" sqref="A5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save_charts">
          <controlPr defaultSize="0" autoLine="0" r:id="rId4">
            <anchor moveWithCells="1">
              <from>
                <xdr:col>11</xdr:col>
                <xdr:colOff>9525</xdr:colOff>
                <xdr:row>0</xdr:row>
                <xdr:rowOff>66675</xdr:rowOff>
              </from>
              <to>
                <xdr:col>13</xdr:col>
                <xdr:colOff>19050</xdr:colOff>
                <xdr:row>1</xdr:row>
                <xdr:rowOff>133350</xdr:rowOff>
              </to>
            </anchor>
          </controlPr>
        </control>
      </mc:Choice>
      <mc:Fallback>
        <control shapeId="2049" r:id="rId3" name="save_chart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Y25"/>
  <sheetViews>
    <sheetView showGridLines="0" workbookViewId="0">
      <selection activeCell="E4" sqref="E4"/>
    </sheetView>
  </sheetViews>
  <sheetFormatPr defaultRowHeight="15" x14ac:dyDescent="0.25"/>
  <cols>
    <col min="3" max="3" width="14.42578125" bestFit="1" customWidth="1"/>
    <col min="22" max="22" width="2.140625" style="5" customWidth="1"/>
    <col min="24" max="24" width="21" bestFit="1" customWidth="1"/>
  </cols>
  <sheetData>
    <row r="1" spans="2:25" s="3" customFormat="1" x14ac:dyDescent="0.25">
      <c r="F1" s="19" t="s">
        <v>1</v>
      </c>
      <c r="G1" s="20">
        <v>2011</v>
      </c>
      <c r="H1" s="19" t="s">
        <v>1</v>
      </c>
      <c r="I1" s="20">
        <v>2011</v>
      </c>
      <c r="M1" s="3" t="s">
        <v>64</v>
      </c>
      <c r="N1" s="3">
        <v>2</v>
      </c>
      <c r="V1" s="28"/>
      <c r="X1" s="29" t="s">
        <v>35</v>
      </c>
    </row>
    <row r="2" spans="2:25" s="3" customFormat="1" x14ac:dyDescent="0.25">
      <c r="F2" s="20">
        <f>MATCH(G1,F7:F29,0)</f>
        <v>15</v>
      </c>
      <c r="G2" s="20"/>
      <c r="H2" s="19" t="s">
        <v>0</v>
      </c>
      <c r="I2" s="30" t="s">
        <v>26</v>
      </c>
      <c r="M2" s="3" t="s">
        <v>65</v>
      </c>
      <c r="N2" s="3" t="s">
        <v>66</v>
      </c>
      <c r="V2" s="28"/>
    </row>
    <row r="3" spans="2:25" x14ac:dyDescent="0.25">
      <c r="X3" t="s">
        <v>36</v>
      </c>
      <c r="Y3" t="s">
        <v>37</v>
      </c>
    </row>
    <row r="4" spans="2:25" x14ac:dyDescent="0.25">
      <c r="X4" t="s">
        <v>67</v>
      </c>
      <c r="Y4">
        <v>1234</v>
      </c>
    </row>
    <row r="5" spans="2:25" x14ac:dyDescent="0.25">
      <c r="X5" t="s">
        <v>68</v>
      </c>
      <c r="Y5">
        <v>2345</v>
      </c>
    </row>
    <row r="6" spans="2:25" x14ac:dyDescent="0.25">
      <c r="B6" s="7" t="s">
        <v>1</v>
      </c>
      <c r="C6" s="7" t="s">
        <v>33</v>
      </c>
      <c r="F6" s="7" t="s">
        <v>1</v>
      </c>
      <c r="G6" s="7" t="s">
        <v>19</v>
      </c>
      <c r="H6" s="7" t="s">
        <v>20</v>
      </c>
      <c r="I6" s="7" t="s">
        <v>21</v>
      </c>
      <c r="J6" s="7" t="s">
        <v>22</v>
      </c>
      <c r="K6" s="7" t="s">
        <v>23</v>
      </c>
      <c r="L6" s="7" t="s">
        <v>24</v>
      </c>
      <c r="M6" s="7" t="s">
        <v>32</v>
      </c>
      <c r="N6" s="7" t="s">
        <v>26</v>
      </c>
      <c r="O6" s="7" t="s">
        <v>27</v>
      </c>
      <c r="P6" s="7" t="s">
        <v>28</v>
      </c>
      <c r="Q6" s="7" t="s">
        <v>29</v>
      </c>
      <c r="R6" s="7" t="s">
        <v>30</v>
      </c>
    </row>
    <row r="7" spans="2:25" x14ac:dyDescent="0.25">
      <c r="B7" s="1">
        <v>2011</v>
      </c>
      <c r="C7" s="1">
        <f>'Data Record'!IE5</f>
        <v>0</v>
      </c>
      <c r="F7" s="7">
        <v>2016</v>
      </c>
      <c r="G7" s="7">
        <f>'Data Record'!D57</f>
        <v>0</v>
      </c>
      <c r="H7" s="7">
        <f>'Data Record'!E57</f>
        <v>0</v>
      </c>
      <c r="I7" s="7">
        <f>'Data Record'!F57</f>
        <v>0</v>
      </c>
      <c r="J7" s="7">
        <f>'Data Record'!G57</f>
        <v>0</v>
      </c>
      <c r="K7" s="7">
        <f>'Data Record'!H57</f>
        <v>0</v>
      </c>
      <c r="L7" s="7">
        <f>'Data Record'!I57</f>
        <v>0</v>
      </c>
      <c r="M7" s="7">
        <f>'Data Record'!J57</f>
        <v>0</v>
      </c>
      <c r="N7" s="7">
        <f>'Data Record'!K57</f>
        <v>0</v>
      </c>
      <c r="O7" s="7">
        <f>'Data Record'!L57</f>
        <v>0</v>
      </c>
      <c r="P7" s="7">
        <f>'Data Record'!M57</f>
        <v>0</v>
      </c>
      <c r="Q7" s="7">
        <f>'Data Record'!N57</f>
        <v>0</v>
      </c>
      <c r="R7" s="7">
        <f>'Data Record'!O57</f>
        <v>0</v>
      </c>
    </row>
    <row r="8" spans="2:25" x14ac:dyDescent="0.25">
      <c r="B8" s="1">
        <v>2012</v>
      </c>
      <c r="C8" s="1">
        <f>'Data Record'!IV5</f>
        <v>0</v>
      </c>
      <c r="F8" s="7">
        <v>2017</v>
      </c>
      <c r="G8" s="7">
        <f>'Data Record'!U57</f>
        <v>0</v>
      </c>
      <c r="H8" s="7">
        <f>'Data Record'!V57</f>
        <v>0</v>
      </c>
      <c r="I8" s="7">
        <f>'Data Record'!W57</f>
        <v>0</v>
      </c>
      <c r="J8" s="7">
        <f>'Data Record'!X57</f>
        <v>0</v>
      </c>
      <c r="K8" s="7">
        <f>'Data Record'!Y57</f>
        <v>0</v>
      </c>
      <c r="L8" s="7">
        <f>'Data Record'!Z57</f>
        <v>0</v>
      </c>
      <c r="M8" s="7">
        <f>'Data Record'!AA57</f>
        <v>0</v>
      </c>
      <c r="N8" s="7">
        <f>'Data Record'!AB57</f>
        <v>0</v>
      </c>
      <c r="O8" s="7">
        <f>'Data Record'!AC57</f>
        <v>0</v>
      </c>
      <c r="P8" s="7">
        <f>'Data Record'!AD57</f>
        <v>0</v>
      </c>
      <c r="Q8" s="7">
        <f>'Data Record'!AE57</f>
        <v>0</v>
      </c>
      <c r="R8" s="7">
        <f>'Data Record'!AF57</f>
        <v>0</v>
      </c>
    </row>
    <row r="9" spans="2:25" x14ac:dyDescent="0.25">
      <c r="B9" s="1">
        <v>2013</v>
      </c>
      <c r="C9" s="1">
        <f>'Data Record'!JM5</f>
        <v>0</v>
      </c>
      <c r="F9" s="7">
        <v>2018</v>
      </c>
      <c r="G9" s="7">
        <f>'Data Record'!AL57</f>
        <v>0</v>
      </c>
      <c r="H9" s="7">
        <f>'Data Record'!AM57</f>
        <v>0</v>
      </c>
      <c r="I9" s="7">
        <f>'Data Record'!AN57</f>
        <v>0</v>
      </c>
      <c r="J9" s="7">
        <f>'Data Record'!AO57</f>
        <v>0</v>
      </c>
      <c r="K9" s="7">
        <f>'Data Record'!AP57</f>
        <v>0</v>
      </c>
      <c r="L9" s="7">
        <f>'Data Record'!AQ57</f>
        <v>0</v>
      </c>
      <c r="M9" s="7">
        <f>'Data Record'!AR57</f>
        <v>0</v>
      </c>
      <c r="N9" s="7">
        <f>'Data Record'!AS57</f>
        <v>0</v>
      </c>
      <c r="O9" s="7">
        <f>'Data Record'!AT57</f>
        <v>0</v>
      </c>
      <c r="P9" s="7">
        <f>'Data Record'!AU57</f>
        <v>0</v>
      </c>
      <c r="Q9" s="7">
        <f>'Data Record'!AV57</f>
        <v>0</v>
      </c>
      <c r="R9" s="7">
        <f>'Data Record'!AW57</f>
        <v>0</v>
      </c>
    </row>
    <row r="10" spans="2:25" x14ac:dyDescent="0.25">
      <c r="B10" s="1">
        <v>2014</v>
      </c>
      <c r="C10" s="1">
        <f>'Data Record'!KD5</f>
        <v>0</v>
      </c>
      <c r="F10" s="7">
        <v>2019</v>
      </c>
      <c r="G10" s="7">
        <f>'Data Record'!BC57</f>
        <v>0</v>
      </c>
      <c r="H10" s="7">
        <f>'Data Record'!BD57</f>
        <v>0</v>
      </c>
      <c r="I10" s="7">
        <f>'Data Record'!BE57</f>
        <v>0</v>
      </c>
      <c r="J10" s="7">
        <f>'Data Record'!BF57</f>
        <v>0</v>
      </c>
      <c r="K10" s="7">
        <f>'Data Record'!BG57</f>
        <v>0</v>
      </c>
      <c r="L10" s="7">
        <f>'Data Record'!BH57</f>
        <v>0</v>
      </c>
      <c r="M10" s="7">
        <f>'Data Record'!BI57</f>
        <v>0</v>
      </c>
      <c r="N10" s="7">
        <f>'Data Record'!BJ57</f>
        <v>0</v>
      </c>
      <c r="O10" s="7">
        <f>'Data Record'!BK57</f>
        <v>0</v>
      </c>
      <c r="P10" s="7">
        <f>'Data Record'!BL57</f>
        <v>0</v>
      </c>
      <c r="Q10" s="7">
        <f>'Data Record'!BM57</f>
        <v>0</v>
      </c>
      <c r="R10" s="7">
        <f>'Data Record'!BN57</f>
        <v>0</v>
      </c>
    </row>
    <row r="11" spans="2:25" x14ac:dyDescent="0.25">
      <c r="B11" s="1">
        <v>2015</v>
      </c>
      <c r="C11" s="1">
        <f>'Data Record'!KU5</f>
        <v>0</v>
      </c>
      <c r="F11" s="7">
        <v>2020</v>
      </c>
      <c r="G11" s="7">
        <f>'Data Record'!BT57</f>
        <v>0</v>
      </c>
      <c r="H11" s="7">
        <f>'Data Record'!BU57</f>
        <v>0</v>
      </c>
      <c r="I11" s="7">
        <f>'Data Record'!BV57</f>
        <v>0</v>
      </c>
      <c r="J11" s="7">
        <f>'Data Record'!BW57</f>
        <v>0</v>
      </c>
      <c r="K11" s="7">
        <f>'Data Record'!BX57</f>
        <v>0</v>
      </c>
      <c r="L11" s="7">
        <f>'Data Record'!BY57</f>
        <v>0</v>
      </c>
      <c r="M11" s="7">
        <f>'Data Record'!BZ57</f>
        <v>0</v>
      </c>
      <c r="N11" s="7">
        <f>'Data Record'!CA57</f>
        <v>0</v>
      </c>
      <c r="O11" s="7">
        <f>'Data Record'!CB57</f>
        <v>0</v>
      </c>
      <c r="P11" s="7">
        <f>'Data Record'!CC57</f>
        <v>0</v>
      </c>
      <c r="Q11" s="7">
        <f>'Data Record'!CD57</f>
        <v>0</v>
      </c>
      <c r="R11" s="7">
        <f>'Data Record'!CE57</f>
        <v>0</v>
      </c>
    </row>
    <row r="12" spans="2:25" x14ac:dyDescent="0.25">
      <c r="B12" s="1">
        <v>2016</v>
      </c>
      <c r="C12" s="1">
        <f>'Data Record'!A5</f>
        <v>0</v>
      </c>
      <c r="F12" s="7">
        <v>2021</v>
      </c>
      <c r="G12" s="7">
        <f>'Data Record'!CK57</f>
        <v>0</v>
      </c>
      <c r="H12" s="7">
        <f>'Data Record'!CL57</f>
        <v>0</v>
      </c>
      <c r="I12" s="7">
        <f>'Data Record'!CM57</f>
        <v>0</v>
      </c>
      <c r="J12" s="7">
        <f>'Data Record'!CN57</f>
        <v>0</v>
      </c>
      <c r="K12" s="7">
        <f>'Data Record'!CO57</f>
        <v>0</v>
      </c>
      <c r="L12" s="7">
        <f>'Data Record'!CP57</f>
        <v>0</v>
      </c>
      <c r="M12" s="7">
        <f>'Data Record'!CQ57</f>
        <v>0</v>
      </c>
      <c r="N12" s="7">
        <f>'Data Record'!CR57</f>
        <v>0</v>
      </c>
      <c r="O12" s="7">
        <f>'Data Record'!CS57</f>
        <v>0</v>
      </c>
      <c r="P12" s="7">
        <f>'Data Record'!CT57</f>
        <v>0</v>
      </c>
      <c r="Q12" s="7">
        <f>'Data Record'!CU57</f>
        <v>0</v>
      </c>
      <c r="R12" s="7">
        <f>'Data Record'!CV57</f>
        <v>0</v>
      </c>
    </row>
    <row r="13" spans="2:25" x14ac:dyDescent="0.25">
      <c r="B13" s="1">
        <v>2017</v>
      </c>
      <c r="C13" s="1">
        <f>'Data Record'!R5</f>
        <v>0</v>
      </c>
      <c r="F13" s="7">
        <v>2022</v>
      </c>
      <c r="G13" s="7">
        <f>'Data Record'!DB57</f>
        <v>0</v>
      </c>
      <c r="H13" s="7">
        <f>'Data Record'!DC57</f>
        <v>0</v>
      </c>
      <c r="I13" s="7">
        <f>'Data Record'!DD57</f>
        <v>0</v>
      </c>
      <c r="J13" s="7">
        <f>'Data Record'!DE57</f>
        <v>0</v>
      </c>
      <c r="K13" s="7">
        <f>'Data Record'!DF57</f>
        <v>0</v>
      </c>
      <c r="L13" s="7">
        <f>'Data Record'!DG57</f>
        <v>0</v>
      </c>
      <c r="M13" s="7">
        <f>'Data Record'!DH57</f>
        <v>0</v>
      </c>
      <c r="N13" s="7">
        <f>'Data Record'!DI57</f>
        <v>0</v>
      </c>
      <c r="O13" s="7">
        <f>'Data Record'!DJ57</f>
        <v>0</v>
      </c>
      <c r="P13" s="7">
        <f>'Data Record'!DK57</f>
        <v>0</v>
      </c>
      <c r="Q13" s="7">
        <f>'Data Record'!DL57</f>
        <v>0</v>
      </c>
      <c r="R13" s="7">
        <f>'Data Record'!DM57</f>
        <v>0</v>
      </c>
    </row>
    <row r="14" spans="2:25" x14ac:dyDescent="0.25">
      <c r="B14" s="1">
        <v>2018</v>
      </c>
      <c r="C14" s="1">
        <f>'Data Record'!AI5</f>
        <v>0</v>
      </c>
      <c r="F14" s="7">
        <v>2023</v>
      </c>
      <c r="G14" s="7">
        <f>'Data Record'!DS57</f>
        <v>0</v>
      </c>
      <c r="H14" s="7">
        <f>'Data Record'!DT57</f>
        <v>0</v>
      </c>
      <c r="I14" s="7">
        <f>'Data Record'!DU57</f>
        <v>0</v>
      </c>
      <c r="J14" s="7">
        <f>'Data Record'!DV57</f>
        <v>0</v>
      </c>
      <c r="K14" s="7">
        <f>'Data Record'!DW57</f>
        <v>0</v>
      </c>
      <c r="L14" s="7">
        <f>'Data Record'!DX57</f>
        <v>0</v>
      </c>
      <c r="M14" s="7">
        <f>'Data Record'!DY57</f>
        <v>0</v>
      </c>
      <c r="N14" s="7">
        <f>'Data Record'!DZ57</f>
        <v>0</v>
      </c>
      <c r="O14" s="7">
        <f>'Data Record'!EA57</f>
        <v>0</v>
      </c>
      <c r="P14" s="7">
        <f>'Data Record'!EB57</f>
        <v>0</v>
      </c>
      <c r="Q14" s="7">
        <f>'Data Record'!EC57</f>
        <v>0</v>
      </c>
      <c r="R14" s="7">
        <f>'Data Record'!ED57</f>
        <v>0</v>
      </c>
    </row>
    <row r="15" spans="2:25" x14ac:dyDescent="0.25">
      <c r="B15" s="1">
        <v>2019</v>
      </c>
      <c r="C15" s="1">
        <f>'Data Record'!AZ5</f>
        <v>0</v>
      </c>
      <c r="F15" s="7">
        <v>2024</v>
      </c>
      <c r="G15" s="7">
        <f>'Data Record'!EJ57</f>
        <v>0</v>
      </c>
      <c r="H15" s="7">
        <f>'Data Record'!EK57</f>
        <v>0</v>
      </c>
      <c r="I15" s="7">
        <f>'Data Record'!EL57</f>
        <v>0</v>
      </c>
      <c r="J15" s="7">
        <f>'Data Record'!EM57</f>
        <v>0</v>
      </c>
      <c r="K15" s="7">
        <f>'Data Record'!EN57</f>
        <v>0</v>
      </c>
      <c r="L15" s="7">
        <f>'Data Record'!EO57</f>
        <v>0</v>
      </c>
      <c r="M15" s="7">
        <f>'Data Record'!EP57</f>
        <v>0</v>
      </c>
      <c r="N15" s="7">
        <f>'Data Record'!EQ57</f>
        <v>0</v>
      </c>
      <c r="O15" s="7">
        <f>'Data Record'!ER57</f>
        <v>0</v>
      </c>
      <c r="P15" s="7">
        <f>'Data Record'!ES57</f>
        <v>0</v>
      </c>
      <c r="Q15" s="7">
        <f>'Data Record'!ET57</f>
        <v>0</v>
      </c>
      <c r="R15" s="7">
        <f>'Data Record'!EU57</f>
        <v>0</v>
      </c>
    </row>
    <row r="16" spans="2:25" x14ac:dyDescent="0.25">
      <c r="B16" s="1">
        <v>2020</v>
      </c>
      <c r="C16" s="1">
        <f>'Data Record'!BQ5</f>
        <v>0</v>
      </c>
      <c r="F16" s="7">
        <v>2025</v>
      </c>
      <c r="G16" s="7">
        <f>'Data Record'!FA57</f>
        <v>0</v>
      </c>
      <c r="H16" s="7">
        <f>'Data Record'!FB57</f>
        <v>0</v>
      </c>
      <c r="I16" s="7">
        <f>'Data Record'!FC57</f>
        <v>0</v>
      </c>
      <c r="J16" s="7">
        <f>'Data Record'!FD57</f>
        <v>0</v>
      </c>
      <c r="K16" s="7">
        <f>'Data Record'!FE57</f>
        <v>0</v>
      </c>
      <c r="L16" s="7">
        <f>'Data Record'!FF57</f>
        <v>0</v>
      </c>
      <c r="M16" s="7">
        <f>'Data Record'!FG57</f>
        <v>0</v>
      </c>
      <c r="N16" s="7">
        <f>'Data Record'!FH57</f>
        <v>0</v>
      </c>
      <c r="O16" s="7">
        <f>'Data Record'!FI57</f>
        <v>0</v>
      </c>
      <c r="P16" s="7">
        <f>'Data Record'!FJ57</f>
        <v>0</v>
      </c>
      <c r="Q16" s="7">
        <f>'Data Record'!FK57</f>
        <v>0</v>
      </c>
      <c r="R16" s="7">
        <f>'Data Record'!FL57</f>
        <v>0</v>
      </c>
    </row>
    <row r="17" spans="2:18" x14ac:dyDescent="0.25">
      <c r="B17" s="1">
        <v>2021</v>
      </c>
      <c r="C17" s="1">
        <f>'Data Record'!CH5</f>
        <v>0</v>
      </c>
      <c r="F17" s="7">
        <v>2026</v>
      </c>
      <c r="G17" s="7">
        <f>'Data Record'!FR57</f>
        <v>0</v>
      </c>
      <c r="H17" s="7">
        <f>'Data Record'!FS57</f>
        <v>0</v>
      </c>
      <c r="I17" s="7">
        <f>'Data Record'!FT57</f>
        <v>0</v>
      </c>
      <c r="J17" s="7">
        <f>'Data Record'!FU57</f>
        <v>0</v>
      </c>
      <c r="K17" s="7">
        <f>'Data Record'!FV57</f>
        <v>0</v>
      </c>
      <c r="L17" s="7">
        <f>'Data Record'!FW57</f>
        <v>0</v>
      </c>
      <c r="M17" s="7">
        <f>'Data Record'!FX57</f>
        <v>0</v>
      </c>
      <c r="N17" s="7">
        <f>'Data Record'!FY57</f>
        <v>0</v>
      </c>
      <c r="O17" s="7">
        <f>'Data Record'!FZ57</f>
        <v>0</v>
      </c>
      <c r="P17" s="7">
        <f>'Data Record'!GA57</f>
        <v>0</v>
      </c>
      <c r="Q17" s="7">
        <f>'Data Record'!GB57</f>
        <v>0</v>
      </c>
      <c r="R17" s="7">
        <f>'Data Record'!GC57</f>
        <v>0</v>
      </c>
    </row>
    <row r="18" spans="2:18" x14ac:dyDescent="0.25">
      <c r="B18" s="1">
        <v>2022</v>
      </c>
      <c r="C18" s="1">
        <f>'Data Record'!CY5</f>
        <v>0</v>
      </c>
      <c r="F18" s="7">
        <v>2027</v>
      </c>
      <c r="G18" s="7">
        <f>'Data Record'!GI57</f>
        <v>0</v>
      </c>
      <c r="H18" s="7">
        <f>'Data Record'!GJ57</f>
        <v>0</v>
      </c>
      <c r="I18" s="7">
        <f>'Data Record'!GK57</f>
        <v>0</v>
      </c>
      <c r="J18" s="7">
        <f>'Data Record'!GL57</f>
        <v>0</v>
      </c>
      <c r="K18" s="7">
        <f>'Data Record'!GM57</f>
        <v>0</v>
      </c>
      <c r="L18" s="7">
        <f>'Data Record'!GN57</f>
        <v>0</v>
      </c>
      <c r="M18" s="7">
        <f>'Data Record'!GO57</f>
        <v>0</v>
      </c>
      <c r="N18" s="7">
        <f>'Data Record'!GP57</f>
        <v>0</v>
      </c>
      <c r="O18" s="7">
        <f>'Data Record'!GQ57</f>
        <v>0</v>
      </c>
      <c r="P18" s="7">
        <f>'Data Record'!GR57</f>
        <v>0</v>
      </c>
      <c r="Q18" s="7">
        <f>'Data Record'!GS57</f>
        <v>0</v>
      </c>
      <c r="R18" s="7">
        <f>'Data Record'!GT57</f>
        <v>0</v>
      </c>
    </row>
    <row r="19" spans="2:18" x14ac:dyDescent="0.25">
      <c r="B19" s="1">
        <v>2023</v>
      </c>
      <c r="C19" s="1">
        <f>'Data Record'!DP5</f>
        <v>0</v>
      </c>
      <c r="F19" s="7">
        <v>2028</v>
      </c>
      <c r="G19" s="7">
        <f>'Data Record'!GZ57</f>
        <v>0</v>
      </c>
      <c r="H19" s="7">
        <f>'Data Record'!HA57</f>
        <v>0</v>
      </c>
      <c r="I19" s="7">
        <f>'Data Record'!HB57</f>
        <v>0</v>
      </c>
      <c r="J19" s="7">
        <f>'Data Record'!HC57</f>
        <v>0</v>
      </c>
      <c r="K19" s="7">
        <f>'Data Record'!HD57</f>
        <v>0</v>
      </c>
      <c r="L19" s="7">
        <f>'Data Record'!HE57</f>
        <v>0</v>
      </c>
      <c r="M19" s="7">
        <f>'Data Record'!HF57</f>
        <v>0</v>
      </c>
      <c r="N19" s="7">
        <f>'Data Record'!HG57</f>
        <v>0</v>
      </c>
      <c r="O19" s="7">
        <f>'Data Record'!HH57</f>
        <v>0</v>
      </c>
      <c r="P19" s="7">
        <f>'Data Record'!HI57</f>
        <v>0</v>
      </c>
      <c r="Q19" s="7">
        <f>'Data Record'!HJ57</f>
        <v>0</v>
      </c>
      <c r="R19" s="7">
        <f>'Data Record'!HK57</f>
        <v>0</v>
      </c>
    </row>
    <row r="20" spans="2:18" x14ac:dyDescent="0.25">
      <c r="B20" s="1">
        <v>2024</v>
      </c>
      <c r="C20" s="1">
        <f>'Data Record'!EG5</f>
        <v>0</v>
      </c>
      <c r="F20" s="7">
        <v>2029</v>
      </c>
      <c r="G20" s="7">
        <f>'Data Record'!HQ57</f>
        <v>0</v>
      </c>
      <c r="H20" s="7">
        <f>'Data Record'!HR57</f>
        <v>0</v>
      </c>
      <c r="I20" s="7">
        <f>'Data Record'!HS57</f>
        <v>0</v>
      </c>
      <c r="J20" s="7">
        <f>'Data Record'!HT57</f>
        <v>0</v>
      </c>
      <c r="K20" s="7">
        <f>'Data Record'!HU57</f>
        <v>0</v>
      </c>
      <c r="L20" s="7">
        <f>'Data Record'!HV57</f>
        <v>0</v>
      </c>
      <c r="M20" s="7">
        <f>'Data Record'!HW57</f>
        <v>0</v>
      </c>
      <c r="N20" s="7">
        <f>'Data Record'!HX57</f>
        <v>0</v>
      </c>
      <c r="O20" s="7">
        <f>'Data Record'!HY57</f>
        <v>0</v>
      </c>
      <c r="P20" s="7">
        <f>'Data Record'!HZ57</f>
        <v>0</v>
      </c>
      <c r="Q20" s="7">
        <f>'Data Record'!IA57</f>
        <v>0</v>
      </c>
      <c r="R20" s="7">
        <f>'Data Record'!IB57</f>
        <v>0</v>
      </c>
    </row>
    <row r="21" spans="2:18" x14ac:dyDescent="0.25">
      <c r="B21" s="1">
        <v>2025</v>
      </c>
      <c r="C21" s="1">
        <f>'Data Record'!EX5</f>
        <v>0</v>
      </c>
      <c r="F21" s="7">
        <v>2011</v>
      </c>
      <c r="G21" s="7">
        <f>'Data Record'!IH57</f>
        <v>0</v>
      </c>
      <c r="H21" s="7">
        <f>'Data Record'!II57</f>
        <v>0</v>
      </c>
      <c r="I21" s="7">
        <f>'Data Record'!IJ57</f>
        <v>0</v>
      </c>
      <c r="J21" s="7">
        <f>'Data Record'!IK57</f>
        <v>0</v>
      </c>
      <c r="K21" s="7">
        <f>'Data Record'!IL57</f>
        <v>0</v>
      </c>
      <c r="L21" s="7">
        <f>'Data Record'!IM57</f>
        <v>0</v>
      </c>
      <c r="M21" s="7">
        <f>'Data Record'!IN57</f>
        <v>0</v>
      </c>
      <c r="N21" s="7">
        <f>'Data Record'!IO57</f>
        <v>0</v>
      </c>
      <c r="O21" s="7">
        <f>'Data Record'!IP57</f>
        <v>0</v>
      </c>
      <c r="P21" s="7">
        <f>'Data Record'!IQ57</f>
        <v>0</v>
      </c>
      <c r="Q21" s="7">
        <f>'Data Record'!IR57</f>
        <v>0</v>
      </c>
      <c r="R21" s="7">
        <f>'Data Record'!IS57</f>
        <v>0</v>
      </c>
    </row>
    <row r="22" spans="2:18" x14ac:dyDescent="0.25">
      <c r="B22" s="1">
        <v>2026</v>
      </c>
      <c r="C22" s="1">
        <f>'Data Record'!FO5</f>
        <v>0</v>
      </c>
      <c r="F22" s="7">
        <v>2012</v>
      </c>
      <c r="G22" s="7">
        <f>'Data Record'!IY57</f>
        <v>0</v>
      </c>
      <c r="H22" s="7">
        <f>'Data Record'!IZ57</f>
        <v>0</v>
      </c>
      <c r="I22" s="7">
        <f>'Data Record'!JA57</f>
        <v>0</v>
      </c>
      <c r="J22" s="7">
        <f>'Data Record'!JB57</f>
        <v>0</v>
      </c>
      <c r="K22" s="7">
        <f>'Data Record'!JC57</f>
        <v>0</v>
      </c>
      <c r="L22" s="7">
        <f>'Data Record'!JD57</f>
        <v>0</v>
      </c>
      <c r="M22" s="7">
        <f>'Data Record'!JE57</f>
        <v>0</v>
      </c>
      <c r="N22" s="7">
        <f>'Data Record'!JF57</f>
        <v>0</v>
      </c>
      <c r="O22" s="7">
        <f>'Data Record'!JG57</f>
        <v>0</v>
      </c>
      <c r="P22" s="7">
        <f>'Data Record'!JH57</f>
        <v>0</v>
      </c>
      <c r="Q22" s="7">
        <f>'Data Record'!JI57</f>
        <v>0</v>
      </c>
      <c r="R22" s="7">
        <f>'Data Record'!JJ57</f>
        <v>0</v>
      </c>
    </row>
    <row r="23" spans="2:18" x14ac:dyDescent="0.25">
      <c r="B23" s="1">
        <v>2027</v>
      </c>
      <c r="C23" s="1">
        <f>'Data Record'!GF5</f>
        <v>0</v>
      </c>
      <c r="F23" s="7">
        <v>2013</v>
      </c>
      <c r="G23" s="7">
        <f>'Data Record'!JP57</f>
        <v>0</v>
      </c>
      <c r="H23" s="7">
        <f>'Data Record'!JQ57</f>
        <v>0</v>
      </c>
      <c r="I23" s="7">
        <f>'Data Record'!JR57</f>
        <v>0</v>
      </c>
      <c r="J23" s="7">
        <f>'Data Record'!JS57</f>
        <v>0</v>
      </c>
      <c r="K23" s="7">
        <f>'Data Record'!JT57</f>
        <v>0</v>
      </c>
      <c r="L23" s="7">
        <f>'Data Record'!JU57</f>
        <v>0</v>
      </c>
      <c r="M23" s="7">
        <f>'Data Record'!JV57</f>
        <v>0</v>
      </c>
      <c r="N23" s="7">
        <f>'Data Record'!JW57</f>
        <v>0</v>
      </c>
      <c r="O23" s="7">
        <f>'Data Record'!JX57</f>
        <v>0</v>
      </c>
      <c r="P23" s="7">
        <f>'Data Record'!JY57</f>
        <v>0</v>
      </c>
      <c r="Q23" s="7">
        <f>'Data Record'!JZ57</f>
        <v>0</v>
      </c>
      <c r="R23" s="7">
        <f>'Data Record'!KA57</f>
        <v>0</v>
      </c>
    </row>
    <row r="24" spans="2:18" x14ac:dyDescent="0.25">
      <c r="B24" s="1">
        <v>2028</v>
      </c>
      <c r="C24" s="1">
        <f>'Data Record'!GW5</f>
        <v>0</v>
      </c>
      <c r="F24" s="7">
        <v>2014</v>
      </c>
      <c r="G24" s="7">
        <f>'Data Record'!KG57</f>
        <v>0</v>
      </c>
      <c r="H24" s="7">
        <f>'Data Record'!KH57</f>
        <v>0</v>
      </c>
      <c r="I24" s="7">
        <f>'Data Record'!KI57</f>
        <v>0</v>
      </c>
      <c r="J24" s="7">
        <f>'Data Record'!KJ57</f>
        <v>0</v>
      </c>
      <c r="K24" s="7">
        <f>'Data Record'!KK57</f>
        <v>0</v>
      </c>
      <c r="L24" s="7">
        <f>'Data Record'!KL57</f>
        <v>0</v>
      </c>
      <c r="M24" s="7">
        <f>'Data Record'!KM57</f>
        <v>0</v>
      </c>
      <c r="N24" s="7">
        <f>'Data Record'!KN57</f>
        <v>0</v>
      </c>
      <c r="O24" s="7">
        <f>'Data Record'!KO57</f>
        <v>0</v>
      </c>
      <c r="P24" s="7">
        <f>'Data Record'!KP57</f>
        <v>0</v>
      </c>
      <c r="Q24" s="7">
        <f>'Data Record'!KQ57</f>
        <v>0</v>
      </c>
      <c r="R24" s="7">
        <f>'Data Record'!KR57</f>
        <v>0</v>
      </c>
    </row>
    <row r="25" spans="2:18" x14ac:dyDescent="0.25">
      <c r="B25" s="1">
        <v>2029</v>
      </c>
      <c r="C25" s="1">
        <f>'Data Record'!HN5</f>
        <v>0</v>
      </c>
      <c r="F25" s="7">
        <v>2015</v>
      </c>
      <c r="G25" s="7">
        <f>'Data Record'!KX57</f>
        <v>0</v>
      </c>
      <c r="H25" s="7">
        <f>'Data Record'!KY57</f>
        <v>0</v>
      </c>
      <c r="I25" s="7">
        <f>'Data Record'!KZ57</f>
        <v>0</v>
      </c>
      <c r="J25" s="7">
        <f>'Data Record'!LA57</f>
        <v>0</v>
      </c>
      <c r="K25" s="7">
        <f>'Data Record'!LB57</f>
        <v>0</v>
      </c>
      <c r="L25" s="7">
        <f>'Data Record'!LC57</f>
        <v>0</v>
      </c>
      <c r="M25" s="7">
        <f>'Data Record'!LD57</f>
        <v>0</v>
      </c>
      <c r="N25" s="7">
        <f>'Data Record'!LE57</f>
        <v>0</v>
      </c>
      <c r="O25" s="7">
        <f>'Data Record'!LF57</f>
        <v>0</v>
      </c>
      <c r="P25" s="7">
        <f>'Data Record'!LG57</f>
        <v>0</v>
      </c>
      <c r="Q25" s="7">
        <f>'Data Record'!LH57</f>
        <v>0</v>
      </c>
      <c r="R25" s="7">
        <f>'Data Record'!LI57</f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Read Me</vt:lpstr>
      <vt:lpstr>Expense Sheet</vt:lpstr>
      <vt:lpstr>Charts</vt:lpstr>
      <vt:lpstr>Charts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2018-09-16T15:58:19Z</cp:lastPrinted>
  <dcterms:created xsi:type="dcterms:W3CDTF">2018-09-07T17:30:20Z</dcterms:created>
  <dcterms:modified xsi:type="dcterms:W3CDTF">2018-10-21T17:25:13Z</dcterms:modified>
</cp:coreProperties>
</file>